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MV_Assumptions" sheetId="2" state="visible" r:id="rId2"/>
    <sheet name="CMV_Earth" sheetId="3" state="visible" r:id="rId3"/>
    <sheet name="CMV_Space" sheetId="4" state="visible" r:id="rId4"/>
    <sheet name="CMV_Comparison" sheetId="5" state="visible" r:id="rId5"/>
    <sheet name="CMV_Probabilities" sheetId="6" state="visible" r:id="rId6"/>
    <sheet name="CM_Assumptions" sheetId="7" state="visible" r:id="rId7"/>
    <sheet name="CM_Earth" sheetId="8" state="visible" r:id="rId8"/>
    <sheet name="CM_Space" sheetId="9" state="visible" r:id="rId9"/>
    <sheet name="CM_Comparison" sheetId="10" state="visible" r:id="rId10"/>
    <sheet name="CM_Probabilities" sheetId="11" state="visible" r:id="rId11"/>
    <sheet name="HSC_Assumptions" sheetId="12" state="visible" r:id="rId12"/>
    <sheet name="HSC_Earth" sheetId="13" state="visible" r:id="rId13"/>
    <sheet name="HSC_Space" sheetId="14" state="visible" r:id="rId14"/>
    <sheet name="HSC_Comparison" sheetId="15" state="visible" r:id="rId15"/>
    <sheet name="HSC_Probabilities" sheetId="16" state="visible" r:id="rId16"/>
    <sheet name="PRD_Check" sheetId="17" state="visible" r:id="rId17"/>
    <sheet name="Sourc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$#,##0;($#,##0);&quot;-&quot;"/>
    <numFmt numFmtId="166" formatCode="0.0"/>
    <numFmt numFmtId="167" formatCode="#,##0.0"/>
    <numFmt numFmtId="168" formatCode="$#,##0.00;($#,##0.00);&quot;-&quot;"/>
    <numFmt numFmtId="169" formatCode="0.000"/>
    <numFmt numFmtId="170" formatCode="0.00000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11" fontId="4" fillId="0" borderId="0" applyAlignment="1" pivotButton="0" quotePrefix="0" xfId="0">
      <alignment vertical="top" wrapText="1"/>
    </xf>
    <xf numFmtId="9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4" fontId="4" fillId="3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165" fontId="4" fillId="3" borderId="0" applyAlignment="1" pivotButton="0" quotePrefix="0" xfId="0">
      <alignment vertical="top" wrapText="1"/>
    </xf>
    <xf numFmtId="165" fontId="5" fillId="0" borderId="0" pivotButton="0" quotePrefix="0" xfId="0"/>
    <xf numFmtId="165" fontId="2" fillId="0" borderId="0" pivotButton="0" quotePrefix="0" xfId="0"/>
    <xf numFmtId="11" fontId="5" fillId="0" borderId="0" pivotButton="0" quotePrefix="0" xfId="0"/>
    <xf numFmtId="166" fontId="5" fillId="0" borderId="0" pivotButton="0" quotePrefix="0" xfId="0"/>
    <xf numFmtId="164" fontId="5" fillId="0" borderId="0" pivotButton="0" quotePrefix="0" xfId="0"/>
    <xf numFmtId="167" fontId="3" fillId="0" borderId="0" pivotButton="0" quotePrefix="0" xfId="0"/>
    <xf numFmtId="167" fontId="2" fillId="0" borderId="0" pivotButton="0" quotePrefix="0" xfId="0"/>
    <xf numFmtId="168" fontId="3" fillId="0" borderId="0" pivotButton="0" quotePrefix="0" xfId="0"/>
    <xf numFmtId="168" fontId="2" fillId="3" borderId="0" pivotButton="0" quotePrefix="0" xfId="0"/>
    <xf numFmtId="165" fontId="3" fillId="0" borderId="0" pivotButton="0" quotePrefix="0" xfId="0"/>
    <xf numFmtId="2" fontId="5" fillId="0" borderId="0" pivotButton="0" quotePrefix="0" xfId="0"/>
    <xf numFmtId="166" fontId="3" fillId="0" borderId="0" pivotButton="0" quotePrefix="0" xfId="0"/>
    <xf numFmtId="164" fontId="3" fillId="0" borderId="0" pivotButton="0" quotePrefix="0" xfId="0"/>
    <xf numFmtId="168" fontId="5" fillId="0" borderId="0" pivotButton="0" quotePrefix="0" xfId="0"/>
    <xf numFmtId="0" fontId="2" fillId="0" borderId="0" pivotButton="0" quotePrefix="0" xfId="0"/>
    <xf numFmtId="2" fontId="3" fillId="0" borderId="0" pivotButton="0" quotePrefix="0" xfId="0"/>
    <xf numFmtId="10" fontId="3" fillId="0" borderId="0" pivotButton="0" quotePrefix="0" xfId="0"/>
    <xf numFmtId="10" fontId="5" fillId="0" borderId="0" pivotButton="0" quotePrefix="0" xfId="0"/>
    <xf numFmtId="165" fontId="3" fillId="0" borderId="0" applyAlignment="1" pivotButton="0" quotePrefix="0" xfId="0">
      <alignment vertical="top" wrapText="1"/>
    </xf>
    <xf numFmtId="0" fontId="4" fillId="0" borderId="0" pivotButton="0" quotePrefix="0" xfId="0"/>
    <xf numFmtId="169" fontId="3" fillId="0" borderId="0" pivotButton="0" quotePrefix="0" xfId="0"/>
    <xf numFmtId="17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model</author>
  </authors>
  <commentList>
    <comment ref="F19" authorId="0" shapeId="0">
      <text>
        <t>Thesis lever: purity in space vs Earth. Cannot push space purity above 100%.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F19" authorId="0" shapeId="0">
      <text>
        <t>Thesis lever: purity in space vs Earth. Cannot push space purity above 100%.</t>
      </text>
    </comment>
  </commentList>
</comments>
</file>

<file path=xl/comments/comment3.xml><?xml version="1.0" encoding="utf-8"?>
<comments xmlns="http://schemas.openxmlformats.org/spreadsheetml/2006/main">
  <authors>
    <author>model</author>
  </authors>
  <commentList>
    <comment ref="F19" authorId="0" shapeId="0">
      <text>
        <t>Thesis lever: purity in space vs Earth. Cannot push space purity above 100%.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Microeconomics of Stem-Cell Manufacturing: Earth vs Low Earth Orbit</t>
        </is>
      </c>
    </row>
    <row r="2">
      <c r="A2" s="2" t="inlineStr">
        <is>
          <t>Question: What is the first product that will be fundamentally cheaper to make in microgravity, and at what launch, manufacturing and return costs is it viable?</t>
        </is>
      </c>
    </row>
    <row r="3">
      <c r="A3" s="3" t="inlineStr">
        <is>
          <t>Built 24 Oct 2026. Currency: USD, price year 2026 (source prices from other years are NOT inflation-adjusted).</t>
        </is>
      </c>
    </row>
    <row r="4">
      <c r="A4" s="2" t="inlineStr">
        <is>
          <t>Three scenarios, same formulas: CMV_* = SPACE VIABILITY CASE (heart muscle cells on an autonomous free-flyer with projected launch/return prices; every bet flagged). CM_* = heart muscle cells with today's ISS logistics. HSC_* = cord-blood blood stem cells.</t>
        </is>
      </c>
    </row>
    <row r="5">
      <c r="A5" s="3" t="inlineStr">
        <is>
          <t>The calculator reads these same values (app/scenario_data.js is generated by build_spreadsheet.py).</t>
        </is>
      </c>
    </row>
    <row r="6">
      <c r="A6" s="3" t="inlineStr"/>
    </row>
    <row r="7">
      <c r="A7" s="2" t="inlineStr">
        <is>
          <t>How to use</t>
        </is>
      </c>
    </row>
    <row r="8">
      <c r="A8" s="3" t="inlineStr">
        <is>
          <t>1. Edit BLUE cells on *_Assumptions (Low / Most likely / High). Black cells are formulas; green cells link to another sheet.</t>
        </is>
      </c>
    </row>
    <row r="9">
      <c r="A9" s="3" t="inlineStr">
        <is>
          <t>2. *_Earth and *_Space build cost per batch and good cells per batch from the 'Most likely' column.</t>
        </is>
      </c>
    </row>
    <row r="10">
      <c r="A10" s="3" t="inlineStr">
        <is>
          <t>3. *_Comparison answers the question: cost per unit, and the maximum launch price, return cost and orbital manufacturing cost at which space still matches Earth.</t>
        </is>
      </c>
    </row>
    <row r="11">
      <c r="A11" s="3" t="inlineStr">
        <is>
          <t>4. *_Probabilities lists key claims with the author's subjective probability they are true. Discussion aids only; they do not feed the model.</t>
        </is>
      </c>
    </row>
    <row r="12">
      <c r="A12" s="3" t="inlineStr">
        <is>
          <t>5. PRD_Check reproduces the specification's worked example to prove the formulas.</t>
        </is>
      </c>
    </row>
    <row r="13">
      <c r="A13" s="3" t="inlineStr">
        <is>
          <t>6. To push changes into the calculator, edit build_spreadsheet.py and rerun it (editing the xlsx alone does not update the app).</t>
        </is>
      </c>
    </row>
    <row r="14">
      <c r="A14" s="3" t="inlineStr"/>
    </row>
    <row r="15">
      <c r="A15" s="2" t="inlineStr">
        <is>
          <t>Evidence honesty</t>
        </is>
      </c>
    </row>
    <row r="16">
      <c r="A16" s="3" t="inlineStr">
        <is>
          <t>Evidence status: measured in target system (Strong) / measured in another system (Moderate) / engineering estimate (Weak) / expert judgment or speculative (Very weak).</t>
        </is>
      </c>
    </row>
    <row r="17">
      <c r="A17" s="3" t="inlineStr">
        <is>
          <t>Source verification: READ = full source page opened; SNIPPET = value seen only in a search summary; verify before citing.</t>
        </is>
      </c>
    </row>
    <row r="18">
      <c r="A18" s="3" t="inlineStr">
        <is>
          <t>Key finding: Earth's best 3D bioreactors already reach ~88-94% correct heart cells, so a pure purity gain is capped near 1.06-1.14x. The thesis needs MORE correct cells per input cell (r_g), which is supported only by simulated-microgravity data so far.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13" customWidth="1" min="3" max="3"/>
    <col width="8" customWidth="1" min="4" max="4"/>
    <col width="13" customWidth="1" min="5" max="5"/>
    <col width="15" customWidth="1" min="6" max="6"/>
    <col width="13" customWidth="1" min="7" max="7"/>
    <col width="12" customWidth="1" min="8" max="8"/>
    <col width="26" customWidth="1" min="9" max="9"/>
    <col width="12" customWidth="1" min="10" max="10"/>
    <col width="14" customWidth="1" min="11" max="11"/>
    <col width="60" customWidth="1" min="12" max="12"/>
    <col width="45" customWidth="1" min="13" max="13"/>
    <col width="14" customWidth="1" min="14" max="14"/>
    <col width="12" customWidth="1" min="15" max="15"/>
  </cols>
  <sheetData>
    <row r="1">
      <c r="A1" s="4" t="inlineStr">
        <is>
          <t>Space viability case: heart muscle cells on an autonomous free-flyer (projection): assumptions. Point estimate = Most likely. Blue = input, black = formula.</t>
        </is>
      </c>
    </row>
    <row r="2">
      <c r="A2" s="5" t="inlineStr">
        <is>
          <t>Low/High = range found in (or judged from) the evidence. Subjective confidence = author's probability the true value lies in [Low, High]; not used by the model.</t>
        </is>
      </c>
    </row>
    <row r="4">
      <c r="A4" s="6" t="inlineStr">
        <is>
          <t>ID</t>
        </is>
      </c>
      <c r="B4" s="6" t="inlineStr">
        <is>
          <t>Parameter</t>
        </is>
      </c>
      <c r="C4" s="6" t="inlineStr">
        <is>
          <t>Unit</t>
        </is>
      </c>
      <c r="D4" s="6" t="inlineStr">
        <is>
          <t>Side</t>
        </is>
      </c>
      <c r="E4" s="6" t="inlineStr">
        <is>
          <t>Low</t>
        </is>
      </c>
      <c r="F4" s="6" t="inlineStr">
        <is>
          <t>Most likely (point)</t>
        </is>
      </c>
      <c r="G4" s="6" t="inlineStr">
        <is>
          <t>High</t>
        </is>
      </c>
      <c r="H4" s="6" t="inlineStr">
        <is>
          <t>Distribution</t>
        </is>
      </c>
      <c r="I4" s="6" t="inlineStr">
        <is>
          <t>Evidence status</t>
        </is>
      </c>
      <c r="J4" s="6" t="inlineStr">
        <is>
          <t>Evidence strength</t>
        </is>
      </c>
      <c r="K4" s="6" t="inlineStr">
        <is>
          <t>Source IDs</t>
        </is>
      </c>
      <c r="L4" s="6" t="inlineStr">
        <is>
          <t>Basis / derivation</t>
        </is>
      </c>
      <c r="M4" s="6" t="inlineStr">
        <is>
          <t>Limitations</t>
        </is>
      </c>
      <c r="N4" s="6" t="inlineStr">
        <is>
          <t>Subjective confidence range holds</t>
        </is>
      </c>
      <c r="O4" s="6" t="inlineStr">
        <is>
          <t>Used directly by calculator?</t>
        </is>
      </c>
    </row>
    <row r="5">
      <c r="A5" s="3" t="inlineStr">
        <is>
          <t>U</t>
        </is>
      </c>
      <c r="B5" s="3" t="inlineStr">
        <is>
          <t>Cells per reporting unit</t>
        </is>
      </c>
      <c r="C5" s="3" t="inlineStr">
        <is>
          <t>cells/unit</t>
        </is>
      </c>
      <c r="D5" s="3" t="inlineStr">
        <is>
          <t>Both</t>
        </is>
      </c>
      <c r="E5" s="7" t="n">
        <v>1000000</v>
      </c>
      <c r="F5" s="7" t="n">
        <v>1000000</v>
      </c>
      <c r="G5" s="7" t="n">
        <v>1000000</v>
      </c>
      <c r="H5" s="3" t="inlineStr">
        <is>
          <t>fixed</t>
        </is>
      </c>
      <c r="I5" s="3" t="inlineStr">
        <is>
          <t>definition</t>
        </is>
      </c>
      <c r="J5" s="3" t="inlineStr">
        <is>
          <t>n/a</t>
        </is>
      </c>
      <c r="K5" s="3" t="inlineStr"/>
      <c r="L5" s="3" t="inlineStr">
        <is>
          <t>1 unit = 1 million correct, working heart muscle cells (cTnT+ cardiomyocytes passing release). A clinical dose is ~50-150 units (C11).</t>
        </is>
      </c>
      <c r="M5" s="3" t="inlineStr">
        <is>
          <t>Accounting choice only.</t>
        </is>
      </c>
      <c r="N5" s="8" t="n"/>
      <c r="O5" s="3" t="inlineStr">
        <is>
          <t>yes</t>
        </is>
      </c>
    </row>
    <row r="6">
      <c r="A6" s="3" t="inlineStr">
        <is>
          <t>N0</t>
        </is>
      </c>
      <c r="B6" s="3" t="inlineStr">
        <is>
          <t>Input iPSCs per differentiation batch</t>
        </is>
      </c>
      <c r="C6" s="3" t="inlineStr">
        <is>
          <t>cells</t>
        </is>
      </c>
      <c r="D6" s="3" t="inlineStr">
        <is>
          <t>Both</t>
        </is>
      </c>
      <c r="E6" s="7" t="n">
        <v>1000000000</v>
      </c>
      <c r="F6" s="7" t="n">
        <v>1000000000</v>
      </c>
      <c r="G6" s="7" t="n">
        <v>1000000000</v>
      </c>
      <c r="H6" s="3" t="inlineStr">
        <is>
          <t>fixed</t>
        </is>
      </c>
      <c r="I6" s="3" t="inlineStr">
        <is>
          <t>measured in target system (derived)</t>
        </is>
      </c>
      <c r="J6" s="3" t="inlineStr">
        <is>
          <t>Strong</t>
        </is>
      </c>
      <c r="K6" s="3" t="inlineStr">
        <is>
          <t>C12</t>
        </is>
      </c>
      <c r="L6" s="3" t="inlineStr">
        <is>
          <t>Industrial batch scale: ~1e9 input iPSCs gives ~2.5e9 CMs (C3 ratio); Ncardia reports 7.5e9-cell batches (C12).</t>
        </is>
      </c>
      <c r="M6" s="3" t="inlineStr">
        <is>
          <t>Assumes an orbital bioreactor can run the same batch size, which has NOT been demonstrated (favors space).</t>
        </is>
      </c>
      <c r="N6" s="8" t="n">
        <v>0.5</v>
      </c>
      <c r="O6" s="3" t="inlineStr">
        <is>
          <t>yes</t>
        </is>
      </c>
    </row>
    <row r="7">
      <c r="A7" s="3" t="inlineStr">
        <is>
          <t>g_E</t>
        </is>
      </c>
      <c r="B7" s="3" t="inlineStr">
        <is>
          <t>Earth: total cells out per input iPSC (expansion during differentiation)</t>
        </is>
      </c>
      <c r="C7" s="3" t="inlineStr">
        <is>
          <t>fold</t>
        </is>
      </c>
      <c r="D7" s="3" t="inlineStr">
        <is>
          <t>Earth</t>
        </is>
      </c>
      <c r="E7" s="9" t="n">
        <v>1.5</v>
      </c>
      <c r="F7" s="9" t="n">
        <v>2.8</v>
      </c>
      <c r="G7" s="9" t="n">
        <v>4</v>
      </c>
      <c r="H7" s="3" t="inlineStr">
        <is>
          <t>triangular</t>
        </is>
      </c>
      <c r="I7" s="3" t="inlineStr">
        <is>
          <t>measured in target system (derived)</t>
        </is>
      </c>
      <c r="J7" s="3" t="inlineStr">
        <is>
          <t>Strong</t>
        </is>
      </c>
      <c r="K7" s="3" t="inlineStr">
        <is>
          <t>C3, C2</t>
        </is>
      </c>
      <c r="L7" s="3" t="inlineStr">
        <is>
          <t>~2.5 CMs per input iPSC at ~90% purity -&gt; ~2.8 total cells per input (C3). Range is judgment around that.</t>
        </is>
      </c>
      <c r="M7" s="3" t="inlineStr">
        <is>
          <t>Derived; per-protocol variation large.</t>
        </is>
      </c>
      <c r="N7" s="8" t="n">
        <v>0.6</v>
      </c>
      <c r="O7" s="3" t="inlineStr">
        <is>
          <t>yes</t>
        </is>
      </c>
    </row>
    <row r="8">
      <c r="A8" s="3" t="inlineStr">
        <is>
          <t>q_E</t>
        </is>
      </c>
      <c r="B8" s="3" t="inlineStr">
        <is>
          <t>Earth: share of output that is correct heart muscle cells (purity)</t>
        </is>
      </c>
      <c r="C8" s="3" t="inlineStr">
        <is>
          <t>fraction</t>
        </is>
      </c>
      <c r="D8" s="3" t="inlineStr">
        <is>
          <t>Earth</t>
        </is>
      </c>
      <c r="E8" s="10" t="n">
        <v>0.58</v>
      </c>
      <c r="F8" s="11" t="n">
        <v>0.88</v>
      </c>
      <c r="G8" s="10" t="n">
        <v>0.9399999999999999</v>
      </c>
      <c r="H8" s="3" t="inlineStr">
        <is>
          <t>triangular</t>
        </is>
      </c>
      <c r="I8" s="3" t="inlineStr">
        <is>
          <t>measured in target system</t>
        </is>
      </c>
      <c r="J8" s="3" t="inlineStr">
        <is>
          <t>Strong</t>
        </is>
      </c>
      <c r="K8" s="3" t="inlineStr">
        <is>
          <t>C1, C2, C3, C12</t>
        </is>
      </c>
      <c r="L8" s="3" t="inlineStr">
        <is>
          <t>Bioreactor purity: 58% mean for one iPSC line (C1, low); ~87-90% typical (C3, C12); 93.5% best (C2, high).</t>
        </is>
      </c>
      <c r="M8" s="3" t="inlineStr">
        <is>
          <t>Earth's best 3D process already near 90%+, so there is little room for a purity gain.</t>
        </is>
      </c>
      <c r="N8" s="8" t="n">
        <v>0.8</v>
      </c>
      <c r="O8" s="3" t="inlineStr">
        <is>
          <t>yes</t>
        </is>
      </c>
    </row>
    <row r="9">
      <c r="A9" s="3" t="inlineStr">
        <is>
          <t>p_E</t>
        </is>
      </c>
      <c r="B9" s="3" t="inlineStr">
        <is>
          <t>Earth: chance a batch succeeds and is released</t>
        </is>
      </c>
      <c r="C9" s="3" t="inlineStr">
        <is>
          <t>probability</t>
        </is>
      </c>
      <c r="D9" s="3" t="inlineStr">
        <is>
          <t>Earth</t>
        </is>
      </c>
      <c r="E9" s="10" t="n">
        <v>0.75</v>
      </c>
      <c r="F9" s="10" t="n">
        <v>0.85</v>
      </c>
      <c r="G9" s="10" t="n">
        <v>0.95</v>
      </c>
      <c r="H9" s="3" t="inlineStr">
        <is>
          <t>triangular</t>
        </is>
      </c>
      <c r="I9" s="3" t="inlineStr">
        <is>
          <t>measured in target system</t>
        </is>
      </c>
      <c r="J9" s="3" t="inlineStr">
        <is>
          <t>Strong</t>
        </is>
      </c>
      <c r="K9" s="3" t="inlineStr">
        <is>
          <t>C4, C1</t>
        </is>
      </c>
      <c r="L9" s="3" t="inlineStr">
        <is>
          <t>'&gt;85% purity in over 80% of runs' (C4); all 3 runs from batch-expanded cells failed in C1.</t>
        </is>
      </c>
      <c r="M9" s="3" t="inlineStr">
        <is>
          <t>No published GMP lot-release rate for iPSC-CMs.</t>
        </is>
      </c>
      <c r="N9" s="8" t="n">
        <v>0.6</v>
      </c>
      <c r="O9" s="3" t="inlineStr">
        <is>
          <t>yes</t>
        </is>
      </c>
    </row>
    <row r="10">
      <c r="A10" s="3" t="inlineStr">
        <is>
          <t>E_cells</t>
        </is>
      </c>
      <c r="B10" s="3" t="inlineStr">
        <is>
          <t>Earth: starting iPSCs (master cell bank vial)</t>
        </is>
      </c>
      <c r="C10" s="3" t="inlineStr">
        <is>
          <t>USD/batch</t>
        </is>
      </c>
      <c r="D10" s="3" t="inlineStr">
        <is>
          <t>Earth</t>
        </is>
      </c>
      <c r="E10" s="12" t="n">
        <v>1000</v>
      </c>
      <c r="F10" s="12" t="n">
        <v>5000</v>
      </c>
      <c r="G10" s="12" t="n">
        <v>10000</v>
      </c>
      <c r="H10" s="3" t="inlineStr">
        <is>
          <t>triangular</t>
        </is>
      </c>
      <c r="I10" s="3" t="inlineStr">
        <is>
          <t>measured in target system</t>
        </is>
      </c>
      <c r="J10" s="3" t="inlineStr">
        <is>
          <t>Strong</t>
        </is>
      </c>
      <c r="K10" s="3" t="inlineStr">
        <is>
          <t>C5</t>
        </is>
      </c>
      <c r="L10" s="3" t="inlineStr">
        <is>
          <t>GMP iPSC bank vial ~$1,000-10,000 (C5).</t>
        </is>
      </c>
      <c r="M10" s="3" t="inlineStr">
        <is>
          <t>Excludes $3M+ process development and bank creation costs.</t>
        </is>
      </c>
      <c r="N10" s="8" t="n">
        <v>0.7</v>
      </c>
      <c r="O10" s="3" t="inlineStr">
        <is>
          <t>yes</t>
        </is>
      </c>
    </row>
    <row r="11">
      <c r="A11" s="3" t="inlineStr">
        <is>
          <t>E_consumables</t>
        </is>
      </c>
      <c r="B11" s="3" t="inlineStr">
        <is>
          <t>Earth: media, growth factors, single-use plastics</t>
        </is>
      </c>
      <c r="C11" s="3" t="inlineStr">
        <is>
          <t>USD/batch</t>
        </is>
      </c>
      <c r="D11" s="3" t="inlineStr">
        <is>
          <t>Earth</t>
        </is>
      </c>
      <c r="E11" s="12" t="n">
        <v>10000</v>
      </c>
      <c r="F11" s="12" t="n">
        <v>40000</v>
      </c>
      <c r="G11" s="12" t="n">
        <v>120000</v>
      </c>
      <c r="H11" s="3" t="inlineStr">
        <is>
          <t>triangular</t>
        </is>
      </c>
      <c r="I11" s="3" t="inlineStr">
        <is>
          <t>engineering estimate (derived)</t>
        </is>
      </c>
      <c r="J11" s="3" t="inlineStr">
        <is>
          <t>Weak</t>
        </is>
      </c>
      <c r="K11" s="3" t="inlineStr">
        <is>
          <t>C3</t>
        </is>
      </c>
      <c r="L11" s="3" t="inlineStr">
        <is>
          <t>Research-grade materials ~$569 per 124M CMs (C3) -&gt; ~$11k for ~2.5e9 CMs; GMP-grade media assumed 2-10x higher.</t>
        </is>
      </c>
      <c r="M11" s="3" t="inlineStr">
        <is>
          <t>GMP multiplier is judgment.</t>
        </is>
      </c>
      <c r="N11" s="8" t="n">
        <v>0.5</v>
      </c>
      <c r="O11" s="3" t="inlineStr">
        <is>
          <t>yes</t>
        </is>
      </c>
    </row>
    <row r="12">
      <c r="A12" s="3" t="inlineStr">
        <is>
          <t>E_labor</t>
        </is>
      </c>
      <c r="B12" s="3" t="inlineStr">
        <is>
          <t>Earth: GMP labor</t>
        </is>
      </c>
      <c r="C12" s="3" t="inlineStr">
        <is>
          <t>USD/batch</t>
        </is>
      </c>
      <c r="D12" s="3" t="inlineStr">
        <is>
          <t>Earth</t>
        </is>
      </c>
      <c r="E12" s="12" t="n">
        <v>50000</v>
      </c>
      <c r="F12" s="12" t="n">
        <v>120000</v>
      </c>
      <c r="G12" s="12" t="n">
        <v>250000</v>
      </c>
      <c r="H12" s="3" t="inlineStr">
        <is>
          <t>triangular</t>
        </is>
      </c>
      <c r="I12" s="3" t="inlineStr">
        <is>
          <t>engineering estimate</t>
        </is>
      </c>
      <c r="J12" s="3" t="inlineStr">
        <is>
          <t>Weak</t>
        </is>
      </c>
      <c r="K12" s="3" t="inlineStr">
        <is>
          <t>C5</t>
        </is>
      </c>
      <c r="L12" s="3" t="inlineStr">
        <is>
          <t>Labor is ~50% of hPSC manufacturing cost (C5); sized roughly equal to all other per-batch costs.</t>
        </is>
      </c>
      <c r="M12" s="3" t="inlineStr">
        <is>
          <t>Derived share, not a measured per-batch figure.</t>
        </is>
      </c>
      <c r="N12" s="8" t="n">
        <v>0.5</v>
      </c>
      <c r="O12" s="3" t="inlineStr">
        <is>
          <t>yes</t>
        </is>
      </c>
    </row>
    <row r="13">
      <c r="A13" s="3" t="inlineStr">
        <is>
          <t>E_facility</t>
        </is>
      </c>
      <c r="B13" s="3" t="inlineStr">
        <is>
          <t>Earth: GMP clean-room allocation</t>
        </is>
      </c>
      <c r="C13" s="3" t="inlineStr">
        <is>
          <t>USD/batch</t>
        </is>
      </c>
      <c r="D13" s="3" t="inlineStr">
        <is>
          <t>Earth</t>
        </is>
      </c>
      <c r="E13" s="12" t="n">
        <v>44000</v>
      </c>
      <c r="F13" s="12" t="n">
        <v>73000</v>
      </c>
      <c r="G13" s="12" t="n">
        <v>110000</v>
      </c>
      <c r="H13" s="3" t="inlineStr">
        <is>
          <t>triangular</t>
        </is>
      </c>
      <c r="I13" s="3" t="inlineStr">
        <is>
          <t>engineering estimate (derived)</t>
        </is>
      </c>
      <c r="J13" s="3" t="inlineStr">
        <is>
          <t>Weak</t>
        </is>
      </c>
      <c r="K13" s="3" t="inlineStr">
        <is>
          <t>C5</t>
        </is>
      </c>
      <c r="L13" s="3" t="inlineStr">
        <is>
          <t>Facility upkeep ~$2.2M/yr (C5) / 20-50 batches per year.</t>
        </is>
      </c>
      <c r="M13" s="3" t="inlineStr">
        <is>
          <t>Batches/year is judgment.</t>
        </is>
      </c>
      <c r="N13" s="8" t="n">
        <v>0.55</v>
      </c>
      <c r="O13" s="3" t="inlineStr">
        <is>
          <t>yes</t>
        </is>
      </c>
    </row>
    <row r="14">
      <c r="A14" s="3" t="inlineStr">
        <is>
          <t>E_equipment</t>
        </is>
      </c>
      <c r="B14" s="3" t="inlineStr">
        <is>
          <t>Earth: bioreactor and equipment allocation</t>
        </is>
      </c>
      <c r="C14" s="3" t="inlineStr">
        <is>
          <t>USD/batch</t>
        </is>
      </c>
      <c r="D14" s="3" t="inlineStr">
        <is>
          <t>Earth</t>
        </is>
      </c>
      <c r="E14" s="12" t="n">
        <v>5000</v>
      </c>
      <c r="F14" s="12" t="n">
        <v>15000</v>
      </c>
      <c r="G14" s="12" t="n">
        <v>40000</v>
      </c>
      <c r="H14" s="3" t="inlineStr">
        <is>
          <t>triangular</t>
        </is>
      </c>
      <c r="I14" s="3" t="inlineStr">
        <is>
          <t>engineering estimate</t>
        </is>
      </c>
      <c r="J14" s="3" t="inlineStr">
        <is>
          <t>Weak</t>
        </is>
      </c>
      <c r="K14" s="3" t="inlineStr"/>
      <c r="L14" s="3" t="inlineStr">
        <is>
          <t>Stirred-tank bioreactor system amortized over batches. Author estimate.</t>
        </is>
      </c>
      <c r="M14" s="3" t="inlineStr">
        <is>
          <t>No source extracted.</t>
        </is>
      </c>
      <c r="N14" s="8" t="n">
        <v>0.4</v>
      </c>
      <c r="O14" s="3" t="inlineStr">
        <is>
          <t>yes</t>
        </is>
      </c>
    </row>
    <row r="15">
      <c r="A15" s="3" t="inlineStr">
        <is>
          <t>E_qc</t>
        </is>
      </c>
      <c r="B15" s="3" t="inlineStr">
        <is>
          <t>Earth: release testing</t>
        </is>
      </c>
      <c r="C15" s="3" t="inlineStr">
        <is>
          <t>USD/batch</t>
        </is>
      </c>
      <c r="D15" s="3" t="inlineStr">
        <is>
          <t>Earth</t>
        </is>
      </c>
      <c r="E15" s="12" t="n">
        <v>10000</v>
      </c>
      <c r="F15" s="12" t="n">
        <v>20000</v>
      </c>
      <c r="G15" s="12" t="n">
        <v>50000</v>
      </c>
      <c r="H15" s="3" t="inlineStr">
        <is>
          <t>triangular</t>
        </is>
      </c>
      <c r="I15" s="3" t="inlineStr">
        <is>
          <t>measured in target system</t>
        </is>
      </c>
      <c r="J15" s="3" t="inlineStr">
        <is>
          <t>Strong</t>
        </is>
      </c>
      <c r="K15" s="3" t="inlineStr">
        <is>
          <t>C5</t>
        </is>
      </c>
      <c r="L15" s="3" t="inlineStr">
        <is>
          <t>Outsourced testing ~$10k per lot (C5); more assays for a final cell product.</t>
        </is>
      </c>
      <c r="M15" s="3" t="inlineStr"/>
      <c r="N15" s="8" t="n">
        <v>0.6</v>
      </c>
      <c r="O15" s="3" t="inlineStr">
        <is>
          <t>yes</t>
        </is>
      </c>
    </row>
    <row r="16">
      <c r="A16" s="3" t="inlineStr">
        <is>
          <t>E_other</t>
        </is>
      </c>
      <c r="B16" s="3" t="inlineStr">
        <is>
          <t>Earth: other production cost</t>
        </is>
      </c>
      <c r="C16" s="3" t="inlineStr">
        <is>
          <t>USD/batch</t>
        </is>
      </c>
      <c r="D16" s="3" t="inlineStr">
        <is>
          <t>Earth</t>
        </is>
      </c>
      <c r="E16" s="12" t="n">
        <v>0</v>
      </c>
      <c r="F16" s="12" t="n">
        <v>0</v>
      </c>
      <c r="G16" s="12" t="n">
        <v>0</v>
      </c>
      <c r="H16" s="3" t="inlineStr">
        <is>
          <t>fixed</t>
        </is>
      </c>
      <c r="I16" s="3" t="inlineStr">
        <is>
          <t>not extracted</t>
        </is>
      </c>
      <c r="J16" s="3" t="inlineStr">
        <is>
          <t>n/a</t>
        </is>
      </c>
      <c r="K16" s="3" t="inlineStr"/>
      <c r="L16" s="3" t="inlineStr">
        <is>
          <t>All costs itemized above.</t>
        </is>
      </c>
      <c r="M16" s="3" t="inlineStr"/>
      <c r="N16" s="8" t="n"/>
      <c r="O16" s="3" t="inlineStr">
        <is>
          <t>yes</t>
        </is>
      </c>
    </row>
    <row r="17">
      <c r="A17" s="3" t="inlineStr">
        <is>
          <t>E_delivery</t>
        </is>
      </c>
      <c r="B17" s="3" t="inlineStr">
        <is>
          <t>Earth: delivery cost</t>
        </is>
      </c>
      <c r="C17" s="3" t="inlineStr">
        <is>
          <t>USD/batch</t>
        </is>
      </c>
      <c r="D17" s="3" t="inlineStr">
        <is>
          <t>Earth</t>
        </is>
      </c>
      <c r="E17" s="12" t="n">
        <v>0</v>
      </c>
      <c r="F17" s="12" t="n">
        <v>0</v>
      </c>
      <c r="G17" s="12" t="n">
        <v>0</v>
      </c>
      <c r="H17" s="3" t="inlineStr">
        <is>
          <t>fixed</t>
        </is>
      </c>
      <c r="I17" s="3" t="inlineStr">
        <is>
          <t>not extracted</t>
        </is>
      </c>
      <c r="J17" s="3" t="inlineStr">
        <is>
          <t>n/a</t>
        </is>
      </c>
      <c r="K17" s="3" t="inlineStr"/>
      <c r="L17" s="3" t="inlineStr">
        <is>
          <t>Not modeled. Earth shipping losses also not modeled.</t>
        </is>
      </c>
      <c r="M17" s="3" t="inlineStr">
        <is>
          <t>Slightly favors Earth.</t>
        </is>
      </c>
      <c r="N17" s="8" t="n"/>
      <c r="O17" s="3" t="inlineStr">
        <is>
          <t>yes</t>
        </is>
      </c>
    </row>
    <row r="18">
      <c r="A18" s="3" t="inlineStr">
        <is>
          <t>r_g</t>
        </is>
      </c>
      <c r="B18" s="3" t="inlineStr">
        <is>
          <t>Space vs Earth: total cells out per input iPSC</t>
        </is>
      </c>
      <c r="C18" s="3" t="inlineStr">
        <is>
          <t>ratio</t>
        </is>
      </c>
      <c r="D18" s="3" t="inlineStr">
        <is>
          <t>Space</t>
        </is>
      </c>
      <c r="E18" s="9" t="n">
        <v>1.5</v>
      </c>
      <c r="F18" s="13" t="n">
        <v>3</v>
      </c>
      <c r="G18" s="9" t="n">
        <v>4</v>
      </c>
      <c r="H18" s="3" t="inlineStr">
        <is>
          <t>triangular</t>
        </is>
      </c>
      <c r="I18" s="3" t="inlineStr">
        <is>
          <t>measured in another system</t>
        </is>
      </c>
      <c r="J18" s="3" t="inlineStr">
        <is>
          <t>Moderate</t>
        </is>
      </c>
      <c r="K18" s="3" t="inlineStr">
        <is>
          <t>C6, C7</t>
        </is>
      </c>
      <c r="L18" s="3" t="inlineStr">
        <is>
          <t>Upper half of the simulated-microgravity evidence: 1.5-4x more heart cells per input stem cell vs 3D at 1g (C6); strong proliferation on ISS (C7). Mode 3.0 = midpoint of C6's range.</t>
        </is>
      </c>
      <c r="M18" s="3" t="inlineStr">
        <is>
          <t>BET: real-flight yield per input cell not yet published. Today's broader range is 0.8-4 (CM scenario).</t>
        </is>
      </c>
      <c r="N18" s="8" t="n">
        <v>0.35</v>
      </c>
      <c r="O18" s="3" t="inlineStr">
        <is>
          <t>yes</t>
        </is>
      </c>
    </row>
    <row r="19">
      <c r="A19" s="3" t="inlineStr">
        <is>
          <t>r_q</t>
        </is>
      </c>
      <c r="B19" s="3" t="inlineStr">
        <is>
          <t>Space vs Earth: share of correct heart cells (purity ratio) - THESIS LEVER</t>
        </is>
      </c>
      <c r="C19" s="3" t="inlineStr">
        <is>
          <t>ratio</t>
        </is>
      </c>
      <c r="D19" s="3" t="inlineStr">
        <is>
          <t>Space</t>
        </is>
      </c>
      <c r="E19" s="9" t="n">
        <v>1</v>
      </c>
      <c r="F19" s="13" t="n">
        <v>1.05</v>
      </c>
      <c r="G19" s="9" t="n">
        <v>1.06</v>
      </c>
      <c r="H19" s="3" t="inlineStr">
        <is>
          <t>triangular</t>
        </is>
      </c>
      <c r="I19" s="3" t="inlineStr">
        <is>
          <t>measured in another system</t>
        </is>
      </c>
      <c r="J19" s="3" t="inlineStr">
        <is>
          <t>Moderate</t>
        </is>
      </c>
      <c r="K19" s="3" t="inlineStr">
        <is>
          <t>C6</t>
        </is>
      </c>
      <c r="L19" s="3" t="inlineStr">
        <is>
          <t>Near the 100%-purity ceiling: ~99% purity reported in simulated microgravity (C6).</t>
        </is>
      </c>
      <c r="M19" s="3" t="inlineStr">
        <is>
          <t>Small effect by construction: Earth purity already ~88%.</t>
        </is>
      </c>
      <c r="N19" s="8" t="n">
        <v>0.4</v>
      </c>
      <c r="O19" s="3" t="inlineStr">
        <is>
          <t>yes</t>
        </is>
      </c>
    </row>
    <row r="20">
      <c r="A20" s="3" t="inlineStr">
        <is>
          <t>s</t>
        </is>
      </c>
      <c r="B20" s="3" t="inlineStr">
        <is>
          <t>Space: share of good cells surviving return, storage, thaw</t>
        </is>
      </c>
      <c r="C20" s="3" t="inlineStr">
        <is>
          <t>fraction</t>
        </is>
      </c>
      <c r="D20" s="3" t="inlineStr">
        <is>
          <t>Space</t>
        </is>
      </c>
      <c r="E20" s="10" t="n">
        <v>0.5</v>
      </c>
      <c r="F20" s="11" t="n">
        <v>0.75</v>
      </c>
      <c r="G20" s="10" t="n">
        <v>0.97</v>
      </c>
      <c r="H20" s="3" t="inlineStr">
        <is>
          <t>triangular</t>
        </is>
      </c>
      <c r="I20" s="3" t="inlineStr">
        <is>
          <t>measured in another system</t>
        </is>
      </c>
      <c r="J20" s="3" t="inlineStr">
        <is>
          <t>Moderate</t>
        </is>
      </c>
      <c r="K20" s="3" t="inlineStr">
        <is>
          <t>S17, S18, C8</t>
        </is>
      </c>
      <c r="L20" s="3" t="inlineStr">
        <is>
          <t>Post-thaw recovery of cryopreserved stem cells ~68-98% (S17, S18); low 0.5 allows for re-entry stress.</t>
        </is>
      </c>
      <c r="M20" s="3" t="inlineStr">
        <is>
          <t>CD34+ data used as proxy; Earth product cryo losses not modeled (favors Earth).</t>
        </is>
      </c>
      <c r="N20" s="8" t="n">
        <v>0.5</v>
      </c>
      <c r="O20" s="3" t="inlineStr">
        <is>
          <t>yes</t>
        </is>
      </c>
    </row>
    <row r="21">
      <c r="A21" s="3" t="inlineStr">
        <is>
          <t>p_S</t>
        </is>
      </c>
      <c r="B21" s="3" t="inlineStr">
        <is>
          <t>Space: chance a batch succeeds and is released</t>
        </is>
      </c>
      <c r="C21" s="3" t="inlineStr">
        <is>
          <t>probability</t>
        </is>
      </c>
      <c r="D21" s="3" t="inlineStr">
        <is>
          <t>Space</t>
        </is>
      </c>
      <c r="E21" s="10" t="n">
        <v>0.7</v>
      </c>
      <c r="F21" s="11" t="n">
        <v>0.85</v>
      </c>
      <c r="G21" s="10" t="n">
        <v>0.95</v>
      </c>
      <c r="H21" s="3" t="inlineStr">
        <is>
          <t>triangular</t>
        </is>
      </c>
      <c r="I21" s="3" t="inlineStr">
        <is>
          <t>projection</t>
        </is>
      </c>
      <c r="J21" s="3" t="inlineStr">
        <is>
          <t>Projection (future bet)</t>
        </is>
      </c>
      <c r="K21" s="3" t="inlineStr"/>
      <c r="L21" s="3" t="inlineStr">
        <is>
          <t>Mature, repeated autonomous flights (assumed).</t>
        </is>
      </c>
      <c r="M21" s="3" t="inlineStr">
        <is>
          <t>BET: no orbital GMP batch history.</t>
        </is>
      </c>
      <c r="N21" s="8" t="n">
        <v>0.3</v>
      </c>
      <c r="O21" s="3" t="inlineStr">
        <is>
          <t>yes</t>
        </is>
      </c>
    </row>
    <row r="22">
      <c r="A22" s="3" t="inlineStr">
        <is>
          <t>S_cells</t>
        </is>
      </c>
      <c r="B22" s="3" t="inlineStr">
        <is>
          <t>Space: starting iPSCs</t>
        </is>
      </c>
      <c r="C22" s="3" t="inlineStr">
        <is>
          <t>USD/batch</t>
        </is>
      </c>
      <c r="D22" s="3" t="inlineStr">
        <is>
          <t>Space</t>
        </is>
      </c>
      <c r="E22" s="12" t="n">
        <v>1000</v>
      </c>
      <c r="F22" s="12" t="n">
        <v>5000</v>
      </c>
      <c r="G22" s="12" t="n">
        <v>10000</v>
      </c>
      <c r="H22" s="3" t="inlineStr">
        <is>
          <t>triangular</t>
        </is>
      </c>
      <c r="I22" s="3" t="inlineStr">
        <is>
          <t>measured in target system</t>
        </is>
      </c>
      <c r="J22" s="3" t="inlineStr">
        <is>
          <t>Strong</t>
        </is>
      </c>
      <c r="K22" s="3" t="inlineStr">
        <is>
          <t>C5</t>
        </is>
      </c>
      <c r="L22" s="3" t="inlineStr">
        <is>
          <t>Same as Earth.</t>
        </is>
      </c>
      <c r="M22" s="3" t="inlineStr">
        <is>
          <t>Sampled independently of Earth.</t>
        </is>
      </c>
      <c r="N22" s="8" t="n">
        <v>0.7</v>
      </c>
      <c r="O22" s="3" t="inlineStr">
        <is>
          <t>yes</t>
        </is>
      </c>
    </row>
    <row r="23">
      <c r="A23" s="3" t="inlineStr">
        <is>
          <t>S_consumables</t>
        </is>
      </c>
      <c r="B23" s="3" t="inlineStr">
        <is>
          <t>Space: media and consumables flown</t>
        </is>
      </c>
      <c r="C23" s="3" t="inlineStr">
        <is>
          <t>USD/batch</t>
        </is>
      </c>
      <c r="D23" s="3" t="inlineStr">
        <is>
          <t>Space</t>
        </is>
      </c>
      <c r="E23" s="12" t="n">
        <v>10000</v>
      </c>
      <c r="F23" s="12" t="n">
        <v>40000</v>
      </c>
      <c r="G23" s="12" t="n">
        <v>120000</v>
      </c>
      <c r="H23" s="3" t="inlineStr">
        <is>
          <t>triangular</t>
        </is>
      </c>
      <c r="I23" s="3" t="inlineStr">
        <is>
          <t>engineering estimate (derived)</t>
        </is>
      </c>
      <c r="J23" s="3" t="inlineStr">
        <is>
          <t>Weak</t>
        </is>
      </c>
      <c r="K23" s="3" t="inlineStr">
        <is>
          <t>C3</t>
        </is>
      </c>
      <c r="L23" s="3" t="inlineStr">
        <is>
          <t>Same as Earth.</t>
        </is>
      </c>
      <c r="M23" s="3" t="inlineStr">
        <is>
          <t>Sampled independently of Earth.</t>
        </is>
      </c>
      <c r="N23" s="8" t="n">
        <v>0.5</v>
      </c>
      <c r="O23" s="3" t="inlineStr">
        <is>
          <t>yes</t>
        </is>
      </c>
    </row>
    <row r="24">
      <c r="A24" s="3" t="inlineStr">
        <is>
          <t>crew_hours</t>
        </is>
      </c>
      <c r="B24" s="3" t="inlineStr">
        <is>
          <t>Space: crew time per batch</t>
        </is>
      </c>
      <c r="C24" s="3" t="inlineStr">
        <is>
          <t>hours/batch</t>
        </is>
      </c>
      <c r="D24" s="3" t="inlineStr">
        <is>
          <t>Space</t>
        </is>
      </c>
      <c r="E24" s="9" t="n">
        <v>0</v>
      </c>
      <c r="F24" s="9" t="n">
        <v>0</v>
      </c>
      <c r="G24" s="9" t="n">
        <v>0</v>
      </c>
      <c r="H24" s="3" t="inlineStr">
        <is>
          <t>fixed</t>
        </is>
      </c>
      <c r="I24" s="3" t="inlineStr">
        <is>
          <t>projection</t>
        </is>
      </c>
      <c r="J24" s="3" t="inlineStr">
        <is>
          <t>Projection (future bet)</t>
        </is>
      </c>
      <c r="K24" s="3" t="inlineStr">
        <is>
          <t>P2</t>
        </is>
      </c>
      <c r="L24" s="3" t="inlineStr">
        <is>
          <t>Autonomous free-flyer (Varda-style): no astronaut time.</t>
        </is>
      </c>
      <c r="M24" s="3" t="inlineStr"/>
      <c r="N24" s="8" t="n">
        <v>0.6</v>
      </c>
      <c r="O24" s="3" t="inlineStr">
        <is>
          <t>via derived row</t>
        </is>
      </c>
    </row>
    <row r="25">
      <c r="A25" s="3" t="inlineStr">
        <is>
          <t>crew_rate</t>
        </is>
      </c>
      <c r="B25" s="3" t="inlineStr">
        <is>
          <t>Space: ISS crew time price</t>
        </is>
      </c>
      <c r="C25" s="3" t="inlineStr">
        <is>
          <t>USD/hour</t>
        </is>
      </c>
      <c r="D25" s="3" t="inlineStr">
        <is>
          <t>Space</t>
        </is>
      </c>
      <c r="E25" s="12" t="n">
        <v>130000</v>
      </c>
      <c r="F25" s="12" t="n">
        <v>130000</v>
      </c>
      <c r="G25" s="12" t="n">
        <v>130000</v>
      </c>
      <c r="H25" s="3" t="inlineStr">
        <is>
          <t>fixed</t>
        </is>
      </c>
      <c r="I25" s="3" t="inlineStr">
        <is>
          <t>measured in target system (price)</t>
        </is>
      </c>
      <c r="J25" s="3" t="inlineStr">
        <is>
          <t>Strong</t>
        </is>
      </c>
      <c r="K25" s="3" t="inlineStr">
        <is>
          <t>S9</t>
        </is>
      </c>
      <c r="L25" s="3" t="inlineStr">
        <is>
          <t>NASA 2021 full-value commercial pricing.</t>
        </is>
      </c>
      <c r="M25" s="3" t="inlineStr">
        <is>
          <t>Policy price; NASA may discount research.</t>
        </is>
      </c>
      <c r="N25" s="8" t="n">
        <v>0.8</v>
      </c>
      <c r="O25" s="3" t="inlineStr">
        <is>
          <t>via derived row</t>
        </is>
      </c>
    </row>
    <row r="26">
      <c r="A26" s="3" t="inlineStr">
        <is>
          <t>S_labor</t>
        </is>
      </c>
      <c r="B26" s="3" t="inlineStr">
        <is>
          <t>Space: crew and operations time</t>
        </is>
      </c>
      <c r="C26" s="3" t="inlineStr">
        <is>
          <t>USD/batch</t>
        </is>
      </c>
      <c r="D26" s="3" t="inlineStr">
        <is>
          <t>Space</t>
        </is>
      </c>
      <c r="E26" s="12" t="n">
        <v>10000</v>
      </c>
      <c r="F26" s="12" t="n">
        <v>30000</v>
      </c>
      <c r="G26" s="12" t="n">
        <v>80000</v>
      </c>
      <c r="H26" s="3" t="inlineStr">
        <is>
          <t>triangular</t>
        </is>
      </c>
      <c r="I26" s="3" t="inlineStr">
        <is>
          <t>projection</t>
        </is>
      </c>
      <c r="J26" s="3" t="inlineStr">
        <is>
          <t>Projection (future bet)</t>
        </is>
      </c>
      <c r="K26" s="3" t="inlineStr">
        <is>
          <t>P2</t>
        </is>
      </c>
      <c r="L26" s="3" t="inlineStr">
        <is>
          <t>Ground operations team monitoring an autonomous free-flyer instead of ISS crew time.</t>
        </is>
      </c>
      <c r="M26" s="3" t="inlineStr">
        <is>
          <t>BET: no published operations cost.</t>
        </is>
      </c>
      <c r="N26" s="8" t="n">
        <v>0.4</v>
      </c>
      <c r="O26" s="3" t="inlineStr">
        <is>
          <t>yes</t>
        </is>
      </c>
    </row>
    <row r="27">
      <c r="A27" s="3" t="inlineStr">
        <is>
          <t>S_facility</t>
        </is>
      </c>
      <c r="B27" s="3" t="inlineStr">
        <is>
          <t>Space: orbital lab fee / implementation partner</t>
        </is>
      </c>
      <c r="C27" s="3" t="inlineStr">
        <is>
          <t>USD/batch</t>
        </is>
      </c>
      <c r="D27" s="3" t="inlineStr">
        <is>
          <t>Space</t>
        </is>
      </c>
      <c r="E27" s="12" t="n">
        <v>30000</v>
      </c>
      <c r="F27" s="12" t="n">
        <v>80000</v>
      </c>
      <c r="G27" s="12" t="n">
        <v>200000</v>
      </c>
      <c r="H27" s="3" t="inlineStr">
        <is>
          <t>triangular</t>
        </is>
      </c>
      <c r="I27" s="3" t="inlineStr">
        <is>
          <t>projection</t>
        </is>
      </c>
      <c r="J27" s="3" t="inlineStr">
        <is>
          <t>Projection (future bet)</t>
        </is>
      </c>
      <c r="K27" s="3" t="inlineStr">
        <is>
          <t>P2</t>
        </is>
      </c>
      <c r="L27" s="3" t="inlineStr">
        <is>
          <t>Per-batch share of a free-flyer platform (bus, power, thermal) flown many times.</t>
        </is>
      </c>
      <c r="M27" s="3" t="inlineStr">
        <is>
          <t>BET: no published price.</t>
        </is>
      </c>
      <c r="N27" s="8" t="n">
        <v>0.3</v>
      </c>
      <c r="O27" s="3" t="inlineStr">
        <is>
          <t>yes</t>
        </is>
      </c>
    </row>
    <row r="28">
      <c r="A28" s="3" t="inlineStr">
        <is>
          <t>S_equipment</t>
        </is>
      </c>
      <c r="B28" s="3" t="inlineStr">
        <is>
          <t>Space: flight bioreactor allocation</t>
        </is>
      </c>
      <c r="C28" s="3" t="inlineStr">
        <is>
          <t>USD/batch</t>
        </is>
      </c>
      <c r="D28" s="3" t="inlineStr">
        <is>
          <t>Space</t>
        </is>
      </c>
      <c r="E28" s="12" t="n">
        <v>10000</v>
      </c>
      <c r="F28" s="12" t="n">
        <v>40000</v>
      </c>
      <c r="G28" s="12" t="n">
        <v>120000</v>
      </c>
      <c r="H28" s="3" t="inlineStr">
        <is>
          <t>triangular</t>
        </is>
      </c>
      <c r="I28" s="3" t="inlineStr">
        <is>
          <t>projection</t>
        </is>
      </c>
      <c r="J28" s="3" t="inlineStr">
        <is>
          <t>Projection (future bet)</t>
        </is>
      </c>
      <c r="K28" s="3" t="inlineStr"/>
      <c r="L28" s="3" t="inlineStr">
        <is>
          <t>Reusable flight bioreactor amortized over many flights.</t>
        </is>
      </c>
      <c r="M28" s="3" t="inlineStr">
        <is>
          <t>BET: placeholder.</t>
        </is>
      </c>
      <c r="N28" s="8" t="n">
        <v>0.3</v>
      </c>
      <c r="O28" s="3" t="inlineStr">
        <is>
          <t>yes</t>
        </is>
      </c>
    </row>
    <row r="29">
      <c r="A29" s="3" t="inlineStr">
        <is>
          <t>S_qc</t>
        </is>
      </c>
      <c r="B29" s="3" t="inlineStr">
        <is>
          <t>Space: release testing</t>
        </is>
      </c>
      <c r="C29" s="3" t="inlineStr">
        <is>
          <t>USD/batch</t>
        </is>
      </c>
      <c r="D29" s="3" t="inlineStr">
        <is>
          <t>Space</t>
        </is>
      </c>
      <c r="E29" s="12" t="n">
        <v>10000</v>
      </c>
      <c r="F29" s="12" t="n">
        <v>20000</v>
      </c>
      <c r="G29" s="12" t="n">
        <v>50000</v>
      </c>
      <c r="H29" s="3" t="inlineStr">
        <is>
          <t>triangular</t>
        </is>
      </c>
      <c r="I29" s="3" t="inlineStr">
        <is>
          <t>measured in target system</t>
        </is>
      </c>
      <c r="J29" s="3" t="inlineStr">
        <is>
          <t>Strong</t>
        </is>
      </c>
      <c r="K29" s="3" t="inlineStr">
        <is>
          <t>C5</t>
        </is>
      </c>
      <c r="L29" s="3" t="inlineStr">
        <is>
          <t>Same as Earth.</t>
        </is>
      </c>
      <c r="M29" s="3" t="inlineStr"/>
      <c r="N29" s="8" t="n">
        <v>0.6</v>
      </c>
      <c r="O29" s="3" t="inlineStr">
        <is>
          <t>yes</t>
        </is>
      </c>
    </row>
    <row r="30">
      <c r="A30" s="3" t="inlineStr">
        <is>
          <t>S_other</t>
        </is>
      </c>
      <c r="B30" s="3" t="inlineStr">
        <is>
          <t>Space: ground GMP work (pre-flight expansion, post-return processing)</t>
        </is>
      </c>
      <c r="C30" s="3" t="inlineStr">
        <is>
          <t>USD/batch</t>
        </is>
      </c>
      <c r="D30" s="3" t="inlineStr">
        <is>
          <t>Space</t>
        </is>
      </c>
      <c r="E30" s="12" t="n">
        <v>60000</v>
      </c>
      <c r="F30" s="12" t="n">
        <v>150000</v>
      </c>
      <c r="G30" s="12" t="n">
        <v>300000</v>
      </c>
      <c r="H30" s="3" t="inlineStr">
        <is>
          <t>triangular</t>
        </is>
      </c>
      <c r="I30" s="3" t="inlineStr">
        <is>
          <t>engineering estimate</t>
        </is>
      </c>
      <c r="J30" s="3" t="inlineStr">
        <is>
          <t>Weak</t>
        </is>
      </c>
      <c r="K30" s="3" t="inlineStr">
        <is>
          <t>C5</t>
        </is>
      </c>
      <c r="L30" s="3" t="inlineStr">
        <is>
          <t>Ground team still expands iPSCs before flight and processes cells after return (labor + facility share).</t>
        </is>
      </c>
      <c r="M30" s="3" t="inlineStr">
        <is>
          <t>Judgment based on Earth labor/facility lines.</t>
        </is>
      </c>
      <c r="N30" s="8" t="n">
        <v>0.45</v>
      </c>
      <c r="O30" s="3" t="inlineStr">
        <is>
          <t>yes</t>
        </is>
      </c>
    </row>
    <row r="31">
      <c r="A31" s="3" t="inlineStr">
        <is>
          <t>L</t>
        </is>
      </c>
      <c r="B31" s="3" t="inlineStr">
        <is>
          <t>Launch price to orbital lab</t>
        </is>
      </c>
      <c r="C31" s="3" t="inlineStr">
        <is>
          <t>USD/kg</t>
        </is>
      </c>
      <c r="D31" s="3" t="inlineStr">
        <is>
          <t>Space</t>
        </is>
      </c>
      <c r="E31" s="12" t="n">
        <v>200</v>
      </c>
      <c r="F31" s="14" t="n">
        <v>1000</v>
      </c>
      <c r="G31" s="12" t="n">
        <v>6500</v>
      </c>
      <c r="H31" s="3" t="inlineStr">
        <is>
          <t>triangular</t>
        </is>
      </c>
      <c r="I31" s="3" t="inlineStr">
        <is>
          <t>projection</t>
        </is>
      </c>
      <c r="J31" s="3" t="inlineStr">
        <is>
          <t>Projection (future bet)</t>
        </is>
      </c>
      <c r="K31" s="3" t="inlineStr">
        <is>
          <t>P1, S10</t>
        </is>
      </c>
      <c r="L31" s="3" t="inlineStr">
        <is>
          <t>Low: Starship target ~$100-200/kg (aspirational, P1); mode: $1,000/kg = top of 'realistic mid-decade' range (P1); high: today's rideshare $6,500/kg (S10).</t>
        </is>
      </c>
      <c r="M31" s="3" t="inlineStr">
        <is>
          <t>BET: Starship has no published commercial price.</t>
        </is>
      </c>
      <c r="N31" s="8" t="n">
        <v>0.45</v>
      </c>
      <c r="O31" s="3" t="inlineStr">
        <is>
          <t>yes</t>
        </is>
      </c>
    </row>
    <row r="32">
      <c r="A32" s="3" t="inlineStr">
        <is>
          <t>M</t>
        </is>
      </c>
      <c r="B32" s="3" t="inlineStr">
        <is>
          <t>Launched mass per batch (hardware share, media, packaging)</t>
        </is>
      </c>
      <c r="C32" s="3" t="inlineStr">
        <is>
          <t>kg/batch</t>
        </is>
      </c>
      <c r="D32" s="3" t="inlineStr">
        <is>
          <t>Space</t>
        </is>
      </c>
      <c r="E32" s="9" t="n">
        <v>10</v>
      </c>
      <c r="F32" s="9" t="n">
        <v>25</v>
      </c>
      <c r="G32" s="9" t="n">
        <v>60</v>
      </c>
      <c r="H32" s="3" t="inlineStr">
        <is>
          <t>triangular</t>
        </is>
      </c>
      <c r="I32" s="3" t="inlineStr">
        <is>
          <t>engineering estimate</t>
        </is>
      </c>
      <c r="J32" s="3" t="inlineStr">
        <is>
          <t>Weak</t>
        </is>
      </c>
      <c r="K32" s="3" t="inlineStr"/>
      <c r="L32" s="3" t="inlineStr">
        <is>
          <t>~1e9 iPSCs need ~1 L culture plus several litres of differentiation media over ~2 weeks, plus hardware share. Author estimate.</t>
        </is>
      </c>
      <c r="M32" s="3" t="inlineStr">
        <is>
          <t>SPECULATIVE.</t>
        </is>
      </c>
      <c r="N32" s="8" t="n">
        <v>0.4</v>
      </c>
      <c r="O32" s="3" t="inlineStr">
        <is>
          <t>yes</t>
        </is>
      </c>
    </row>
    <row r="33">
      <c r="A33" s="3" t="inlineStr">
        <is>
          <t>ret_mass</t>
        </is>
      </c>
      <c r="B33" s="3" t="inlineStr">
        <is>
          <t>Return mass per batch incl. cold stowage</t>
        </is>
      </c>
      <c r="C33" s="3" t="inlineStr">
        <is>
          <t>kg/batch</t>
        </is>
      </c>
      <c r="D33" s="3" t="inlineStr">
        <is>
          <t>Space</t>
        </is>
      </c>
      <c r="E33" s="9" t="n">
        <v>5</v>
      </c>
      <c r="F33" s="9" t="n">
        <v>5</v>
      </c>
      <c r="G33" s="9" t="n">
        <v>5</v>
      </c>
      <c r="H33" s="3" t="inlineStr">
        <is>
          <t>fixed</t>
        </is>
      </c>
      <c r="I33" s="3" t="inlineStr">
        <is>
          <t>engineering estimate</t>
        </is>
      </c>
      <c r="J33" s="3" t="inlineStr">
        <is>
          <t>Weak</t>
        </is>
      </c>
      <c r="K33" s="3" t="inlineStr"/>
      <c r="L33" s="3" t="inlineStr">
        <is>
          <t>Not used: return priced per capsule share below.</t>
        </is>
      </c>
      <c r="M33" s="3" t="inlineStr"/>
      <c r="N33" s="8" t="n"/>
      <c r="O33" s="3" t="inlineStr">
        <is>
          <t>via derived row</t>
        </is>
      </c>
    </row>
    <row r="34">
      <c r="A34" s="3" t="inlineStr">
        <is>
          <t>down_rate</t>
        </is>
      </c>
      <c r="B34" s="3" t="inlineStr">
        <is>
          <t>Downmass price</t>
        </is>
      </c>
      <c r="C34" s="3" t="inlineStr">
        <is>
          <t>USD/kg</t>
        </is>
      </c>
      <c r="D34" s="3" t="inlineStr">
        <is>
          <t>Space</t>
        </is>
      </c>
      <c r="E34" s="12" t="n">
        <v>40000</v>
      </c>
      <c r="F34" s="12" t="n">
        <v>40000</v>
      </c>
      <c r="G34" s="12" t="n">
        <v>40000</v>
      </c>
      <c r="H34" s="3" t="inlineStr">
        <is>
          <t>fixed</t>
        </is>
      </c>
      <c r="I34" s="3" t="inlineStr">
        <is>
          <t>measured in target system (price)</t>
        </is>
      </c>
      <c r="J34" s="3" t="inlineStr">
        <is>
          <t>Strong</t>
        </is>
      </c>
      <c r="K34" s="3" t="inlineStr">
        <is>
          <t>S9</t>
        </is>
      </c>
      <c r="L34" s="3" t="inlineStr">
        <is>
          <t>NASA 2021 full-value downmass price.</t>
        </is>
      </c>
      <c r="M34" s="3" t="inlineStr">
        <is>
          <t>Policy price.</t>
        </is>
      </c>
      <c r="N34" s="8" t="n">
        <v>0.8</v>
      </c>
      <c r="O34" s="3" t="inlineStr">
        <is>
          <t>via derived row</t>
        </is>
      </c>
    </row>
    <row r="35">
      <c r="A35" s="3" t="inlineStr">
        <is>
          <t>C_return</t>
        </is>
      </c>
      <c r="B35" s="3" t="inlineStr">
        <is>
          <t>Return and recovery cost</t>
        </is>
      </c>
      <c r="C35" s="3" t="inlineStr">
        <is>
          <t>USD/batch</t>
        </is>
      </c>
      <c r="D35" s="3" t="inlineStr">
        <is>
          <t>Space</t>
        </is>
      </c>
      <c r="E35" s="12" t="n">
        <v>50000</v>
      </c>
      <c r="F35" s="12" t="n">
        <v>100000</v>
      </c>
      <c r="G35" s="12" t="n">
        <v>250000</v>
      </c>
      <c r="H35" s="3" t="inlineStr">
        <is>
          <t>triangular</t>
        </is>
      </c>
      <c r="I35" s="3" t="inlineStr">
        <is>
          <t>projection</t>
        </is>
      </c>
      <c r="J35" s="3" t="inlineStr">
        <is>
          <t>Projection (future bet)</t>
        </is>
      </c>
      <c r="K35" s="3" t="inlineStr">
        <is>
          <t>P2</t>
        </is>
      </c>
      <c r="L35" s="3" t="inlineStr">
        <is>
          <t>~$5M per reentry capsule flight (P2) shared by ~20-100 batches (50 at the mode).</t>
        </is>
      </c>
      <c r="M35" s="3" t="inlineStr">
        <is>
          <t>BET: batches per capsule assumed; capsule capacity not published.</t>
        </is>
      </c>
      <c r="N35" s="8" t="n">
        <v>0.35</v>
      </c>
      <c r="O35" s="3" t="inlineStr">
        <is>
          <t>yes</t>
        </is>
      </c>
    </row>
    <row r="36">
      <c r="A36" s="3" t="inlineStr">
        <is>
          <t>C_other_del</t>
        </is>
      </c>
      <c r="B36" s="3" t="inlineStr">
        <is>
          <t>Other space delivery cost</t>
        </is>
      </c>
      <c r="C36" s="3" t="inlineStr">
        <is>
          <t>USD/batch</t>
        </is>
      </c>
      <c r="D36" s="3" t="inlineStr">
        <is>
          <t>Space</t>
        </is>
      </c>
      <c r="E36" s="12" t="n">
        <v>0</v>
      </c>
      <c r="F36" s="12" t="n">
        <v>0</v>
      </c>
      <c r="G36" s="12" t="n">
        <v>0</v>
      </c>
      <c r="H36" s="3" t="inlineStr">
        <is>
          <t>fixed</t>
        </is>
      </c>
      <c r="I36" s="3" t="inlineStr">
        <is>
          <t>not extracted</t>
        </is>
      </c>
      <c r="J36" s="3" t="inlineStr">
        <is>
          <t>n/a</t>
        </is>
      </c>
      <c r="K36" s="3" t="inlineStr"/>
      <c r="L36" s="3" t="inlineStr">
        <is>
          <t>Not modeled separately.</t>
        </is>
      </c>
      <c r="M36" s="3" t="inlineStr"/>
      <c r="N36" s="8" t="n"/>
      <c r="O36" s="3" t="inlineStr">
        <is>
          <t>yes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70" customWidth="1" min="4" max="4"/>
  </cols>
  <sheetData>
    <row r="1">
      <c r="A1" s="4" t="inlineStr">
        <is>
          <t>Space viability case: heart muscle cells on an autonomous free-flyer (projection) - Earth: cost and output per attempted batch (point estimates)</t>
        </is>
      </c>
    </row>
    <row r="3">
      <c r="A3" s="6" t="inlineStr">
        <is>
          <t>Line item</t>
        </is>
      </c>
      <c r="B3" s="6" t="inlineStr">
        <is>
          <t>Value</t>
        </is>
      </c>
      <c r="C3" s="6" t="inlineStr">
        <is>
          <t>Unit</t>
        </is>
      </c>
      <c r="D3" s="6" t="inlineStr">
        <is>
          <t>Note</t>
        </is>
      </c>
    </row>
    <row r="4">
      <c r="A4" s="3" t="inlineStr">
        <is>
          <t>Earth: starting iPSCs (master cell bank vial)</t>
        </is>
      </c>
      <c r="B4" s="15">
        <f>CMV_Assumptions!$F$10</f>
        <v/>
      </c>
      <c r="C4" s="5" t="inlineStr">
        <is>
          <t>USD/batch</t>
        </is>
      </c>
      <c r="D4" s="3" t="inlineStr">
        <is>
          <t>measured in target system</t>
        </is>
      </c>
    </row>
    <row r="5">
      <c r="A5" s="3" t="inlineStr">
        <is>
          <t>Earth: media, growth factors, single-use plastics</t>
        </is>
      </c>
      <c r="B5" s="15">
        <f>CMV_Assumptions!$F$11</f>
        <v/>
      </c>
      <c r="C5" s="5" t="inlineStr">
        <is>
          <t>USD/batch</t>
        </is>
      </c>
      <c r="D5" s="3" t="inlineStr">
        <is>
          <t>engineering estimate (derived)</t>
        </is>
      </c>
    </row>
    <row r="6">
      <c r="A6" s="3" t="inlineStr">
        <is>
          <t>Earth: GMP labor</t>
        </is>
      </c>
      <c r="B6" s="15">
        <f>CMV_Assumptions!$F$12</f>
        <v/>
      </c>
      <c r="C6" s="5" t="inlineStr">
        <is>
          <t>USD/batch</t>
        </is>
      </c>
      <c r="D6" s="3" t="inlineStr">
        <is>
          <t>engineering estimate</t>
        </is>
      </c>
    </row>
    <row r="7">
      <c r="A7" s="3" t="inlineStr">
        <is>
          <t>Earth: GMP clean-room allocation</t>
        </is>
      </c>
      <c r="B7" s="15">
        <f>CMV_Assumptions!$F$13</f>
        <v/>
      </c>
      <c r="C7" s="5" t="inlineStr">
        <is>
          <t>USD/batch</t>
        </is>
      </c>
      <c r="D7" s="3" t="inlineStr">
        <is>
          <t>engineering estimate (derived)</t>
        </is>
      </c>
    </row>
    <row r="8">
      <c r="A8" s="3" t="inlineStr">
        <is>
          <t>Earth: bioreactor and equipment allocation</t>
        </is>
      </c>
      <c r="B8" s="15">
        <f>CMV_Assumptions!$F$14</f>
        <v/>
      </c>
      <c r="C8" s="5" t="inlineStr">
        <is>
          <t>USD/batch</t>
        </is>
      </c>
      <c r="D8" s="3" t="inlineStr">
        <is>
          <t>engineering estimate</t>
        </is>
      </c>
    </row>
    <row r="9">
      <c r="A9" s="3" t="inlineStr">
        <is>
          <t>Earth: release testing</t>
        </is>
      </c>
      <c r="B9" s="15">
        <f>CMV_Assumptions!$F$15</f>
        <v/>
      </c>
      <c r="C9" s="5" t="inlineStr">
        <is>
          <t>USD/batch</t>
        </is>
      </c>
      <c r="D9" s="3" t="inlineStr">
        <is>
          <t>measured in target system</t>
        </is>
      </c>
    </row>
    <row r="10">
      <c r="A10" s="3" t="inlineStr">
        <is>
          <t>Earth: other production cost</t>
        </is>
      </c>
      <c r="B10" s="15">
        <f>CMV_Assumptions!$F$16</f>
        <v/>
      </c>
      <c r="C10" s="5" t="inlineStr">
        <is>
          <t>USD/batch</t>
        </is>
      </c>
      <c r="D10" s="3" t="inlineStr">
        <is>
          <t>not extracted</t>
        </is>
      </c>
    </row>
    <row r="11">
      <c r="A11" s="2" t="inlineStr">
        <is>
          <t>C_E_prod: production cost per batch</t>
        </is>
      </c>
      <c r="B11" s="16">
        <f>SUM(B4:B10)</f>
        <v/>
      </c>
      <c r="C11" s="5" t="inlineStr">
        <is>
          <t>USD/batch</t>
        </is>
      </c>
      <c r="D11" s="3" t="inlineStr"/>
    </row>
    <row r="12">
      <c r="A12" s="3" t="inlineStr">
        <is>
          <t>Earth delivery cost</t>
        </is>
      </c>
      <c r="B12" s="15">
        <f>CMV_Assumptions!$F$17</f>
        <v/>
      </c>
      <c r="C12" s="5" t="inlineStr">
        <is>
          <t>USD/batch</t>
        </is>
      </c>
      <c r="D12" s="3" t="inlineStr"/>
    </row>
    <row r="13">
      <c r="A13" s="2" t="inlineStr">
        <is>
          <t>C_E_del: delivered cost per batch</t>
        </is>
      </c>
      <c r="B13" s="16">
        <f>B11+B12</f>
        <v/>
      </c>
      <c r="C13" s="5" t="inlineStr">
        <is>
          <t>USD/batch</t>
        </is>
      </c>
      <c r="D13" s="3" t="inlineStr"/>
    </row>
    <row r="15">
      <c r="A15" s="3" t="inlineStr">
        <is>
          <t>N0: starting cells</t>
        </is>
      </c>
      <c r="B15" s="17">
        <f>CMV_Assumptions!$F$6</f>
        <v/>
      </c>
      <c r="C15" s="5" t="inlineStr">
        <is>
          <t>cells</t>
        </is>
      </c>
      <c r="D15" s="3" t="inlineStr"/>
    </row>
    <row r="16">
      <c r="A16" s="3" t="inlineStr">
        <is>
          <t>g_E: growth (cells out per starting cell)</t>
        </is>
      </c>
      <c r="B16" s="18">
        <f>CMV_Assumptions!$F$7</f>
        <v/>
      </c>
      <c r="C16" s="5" t="inlineStr">
        <is>
          <t>fold</t>
        </is>
      </c>
      <c r="D16" s="3" t="inlineStr"/>
    </row>
    <row r="17">
      <c r="A17" s="3" t="inlineStr">
        <is>
          <t>q_E: share of correct / qualified cells</t>
        </is>
      </c>
      <c r="B17" s="19">
        <f>CMV_Assumptions!$F$8</f>
        <v/>
      </c>
      <c r="C17" s="5" t="inlineStr">
        <is>
          <t>fraction</t>
        </is>
      </c>
      <c r="D17" s="3" t="inlineStr"/>
    </row>
    <row r="18">
      <c r="A18" s="3" t="inlineStr">
        <is>
          <t>p_E: batch success probability</t>
        </is>
      </c>
      <c r="B18" s="19">
        <f>CMV_Assumptions!$F$9</f>
        <v/>
      </c>
      <c r="C18" s="5" t="inlineStr">
        <is>
          <t>probability</t>
        </is>
      </c>
      <c r="D18" s="3" t="inlineStr"/>
    </row>
    <row r="19">
      <c r="A19" s="3" t="inlineStr">
        <is>
          <t>U: cells per unit</t>
        </is>
      </c>
      <c r="B19" s="17">
        <f>CMV_Assumptions!$F$5</f>
        <v/>
      </c>
      <c r="C19" s="5" t="inlineStr">
        <is>
          <t>cells/unit</t>
        </is>
      </c>
      <c r="D19" s="3" t="inlineStr"/>
    </row>
    <row r="20">
      <c r="A20" s="3" t="inlineStr">
        <is>
          <t>Y_E = N0 x g_E x q_E / U  (successful batch)</t>
        </is>
      </c>
      <c r="B20" s="20">
        <f>B15*B16*B17/B19</f>
        <v/>
      </c>
      <c r="C20" s="5" t="inlineStr">
        <is>
          <t>units/batch</t>
        </is>
      </c>
      <c r="D20" s="3" t="inlineStr"/>
    </row>
    <row r="21">
      <c r="A21" s="2" t="inlineStr">
        <is>
          <t>Q_E = p_E x Y_E  (expected per attempted batch)</t>
        </is>
      </c>
      <c r="B21" s="21">
        <f>B18*B20</f>
        <v/>
      </c>
      <c r="C21" s="5" t="inlineStr">
        <is>
          <t>units/batch</t>
        </is>
      </c>
      <c r="D21" s="3" t="inlineStr"/>
    </row>
    <row r="22">
      <c r="A22" s="3" t="inlineStr">
        <is>
          <t>c_E_prod: production cost per unit</t>
        </is>
      </c>
      <c r="B22" s="22">
        <f>IF(B21&gt;0,B11/B21,"No usable output")</f>
        <v/>
      </c>
      <c r="C22" s="5" t="inlineStr">
        <is>
          <t>USD/unit</t>
        </is>
      </c>
      <c r="D22" s="3" t="inlineStr"/>
    </row>
    <row r="23">
      <c r="A23" s="2" t="inlineStr">
        <is>
          <t>c_E: delivered cost per unit</t>
        </is>
      </c>
      <c r="B23" s="23">
        <f>IF(B21&gt;0,B13/B21,"No usable output")</f>
        <v/>
      </c>
      <c r="C23" s="5" t="inlineStr">
        <is>
          <t>USD/unit</t>
        </is>
      </c>
      <c r="D2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70" customWidth="1" min="4" max="4"/>
  </cols>
  <sheetData>
    <row r="1">
      <c r="A1" s="4" t="inlineStr">
        <is>
          <t>Space viability case: heart muscle cells on an autonomous free-flyer (projection) - Space (LEO): cost and output per attempted batch (point estimates)</t>
        </is>
      </c>
    </row>
    <row r="3">
      <c r="A3" s="6" t="inlineStr">
        <is>
          <t>Line item</t>
        </is>
      </c>
      <c r="B3" s="6" t="inlineStr">
        <is>
          <t>Value</t>
        </is>
      </c>
      <c r="C3" s="6" t="inlineStr">
        <is>
          <t>Unit</t>
        </is>
      </c>
      <c r="D3" s="6" t="inlineStr">
        <is>
          <t>Note</t>
        </is>
      </c>
    </row>
    <row r="4">
      <c r="A4" s="3" t="inlineStr">
        <is>
          <t>Space: starting iPSCs</t>
        </is>
      </c>
      <c r="B4" s="15">
        <f>CMV_Assumptions!$F$22</f>
        <v/>
      </c>
      <c r="C4" s="5" t="inlineStr">
        <is>
          <t>USD/batch</t>
        </is>
      </c>
      <c r="D4" s="3" t="inlineStr">
        <is>
          <t>measured in target system</t>
        </is>
      </c>
    </row>
    <row r="5">
      <c r="A5" s="3" t="inlineStr">
        <is>
          <t>Space: media and consumables flown</t>
        </is>
      </c>
      <c r="B5" s="15">
        <f>CMV_Assumptions!$F$23</f>
        <v/>
      </c>
      <c r="C5" s="5" t="inlineStr">
        <is>
          <t>USD/batch</t>
        </is>
      </c>
      <c r="D5" s="3" t="inlineStr">
        <is>
          <t>engineering estimate (derived)</t>
        </is>
      </c>
    </row>
    <row r="6">
      <c r="A6" s="3" t="inlineStr">
        <is>
          <t>Space: crew and operations time</t>
        </is>
      </c>
      <c r="B6" s="15">
        <f>CMV_Assumptions!$F$26</f>
        <v/>
      </c>
      <c r="C6" s="5" t="inlineStr">
        <is>
          <t>USD/batch</t>
        </is>
      </c>
      <c r="D6" s="3" t="inlineStr">
        <is>
          <t>projection</t>
        </is>
      </c>
    </row>
    <row r="7">
      <c r="A7" s="3" t="inlineStr">
        <is>
          <t>Space: orbital lab fee / implementation partner</t>
        </is>
      </c>
      <c r="B7" s="15">
        <f>CMV_Assumptions!$F$27</f>
        <v/>
      </c>
      <c r="C7" s="5" t="inlineStr">
        <is>
          <t>USD/batch</t>
        </is>
      </c>
      <c r="D7" s="3" t="inlineStr">
        <is>
          <t>projection</t>
        </is>
      </c>
    </row>
    <row r="8">
      <c r="A8" s="3" t="inlineStr">
        <is>
          <t>Space: flight bioreactor allocation</t>
        </is>
      </c>
      <c r="B8" s="15">
        <f>CMV_Assumptions!$F$28</f>
        <v/>
      </c>
      <c r="C8" s="5" t="inlineStr">
        <is>
          <t>USD/batch</t>
        </is>
      </c>
      <c r="D8" s="3" t="inlineStr">
        <is>
          <t>projection</t>
        </is>
      </c>
    </row>
    <row r="9">
      <c r="A9" s="3" t="inlineStr">
        <is>
          <t>Space: release testing</t>
        </is>
      </c>
      <c r="B9" s="15">
        <f>CMV_Assumptions!$F$29</f>
        <v/>
      </c>
      <c r="C9" s="5" t="inlineStr">
        <is>
          <t>USD/batch</t>
        </is>
      </c>
      <c r="D9" s="3" t="inlineStr">
        <is>
          <t>measured in target system</t>
        </is>
      </c>
    </row>
    <row r="10">
      <c r="A10" s="3" t="inlineStr">
        <is>
          <t>Space: ground GMP work (pre-flight expansion, post-return processing)</t>
        </is>
      </c>
      <c r="B10" s="15">
        <f>CMV_Assumptions!$F$30</f>
        <v/>
      </c>
      <c r="C10" s="5" t="inlineStr">
        <is>
          <t>USD/batch</t>
        </is>
      </c>
      <c r="D10" s="3" t="inlineStr">
        <is>
          <t>engineering estimate</t>
        </is>
      </c>
    </row>
    <row r="11">
      <c r="A11" s="2" t="inlineStr">
        <is>
          <t>C_S_prod: production (orbital manufacturing) cost per batch</t>
        </is>
      </c>
      <c r="B11" s="16">
        <f>SUM(B4:B10)</f>
        <v/>
      </c>
      <c r="C11" s="5" t="inlineStr">
        <is>
          <t>USD/batch</t>
        </is>
      </c>
      <c r="D11" s="3" t="inlineStr"/>
    </row>
    <row r="12">
      <c r="A12" s="3" t="inlineStr">
        <is>
          <t>L: launch price</t>
        </is>
      </c>
      <c r="B12" s="15">
        <f>CMV_Assumptions!$F$31</f>
        <v/>
      </c>
      <c r="C12" s="5" t="inlineStr">
        <is>
          <t>USD/kg</t>
        </is>
      </c>
      <c r="D12" s="3" t="inlineStr"/>
    </row>
    <row r="13">
      <c r="A13" s="3" t="inlineStr">
        <is>
          <t>M: launched mass</t>
        </is>
      </c>
      <c r="B13" s="18">
        <f>CMV_Assumptions!$F$32</f>
        <v/>
      </c>
      <c r="C13" s="5" t="inlineStr">
        <is>
          <t>kg/batch</t>
        </is>
      </c>
      <c r="D13" s="3" t="inlineStr"/>
    </row>
    <row r="14">
      <c r="A14" s="3" t="inlineStr">
        <is>
          <t>C_launch = L x M</t>
        </is>
      </c>
      <c r="B14" s="24">
        <f>B12*B13</f>
        <v/>
      </c>
      <c r="C14" s="5" t="inlineStr">
        <is>
          <t>USD/batch</t>
        </is>
      </c>
      <c r="D14" s="3" t="inlineStr"/>
    </row>
    <row r="15">
      <c r="A15" s="3" t="inlineStr">
        <is>
          <t>Return and recovery (return mass x downmass price)</t>
        </is>
      </c>
      <c r="B15" s="15">
        <f>CMV_Assumptions!$F$35</f>
        <v/>
      </c>
      <c r="C15" s="5" t="inlineStr">
        <is>
          <t>USD/batch</t>
        </is>
      </c>
      <c r="D15" s="3" t="inlineStr"/>
    </row>
    <row r="16">
      <c r="A16" s="3" t="inlineStr">
        <is>
          <t>Other delivery</t>
        </is>
      </c>
      <c r="B16" s="15">
        <f>CMV_Assumptions!$F$36</f>
        <v/>
      </c>
      <c r="C16" s="5" t="inlineStr">
        <is>
          <t>USD/batch</t>
        </is>
      </c>
      <c r="D16" s="3" t="inlineStr"/>
    </row>
    <row r="17">
      <c r="A17" s="2" t="inlineStr">
        <is>
          <t>C_S_del: delivered cost per batch</t>
        </is>
      </c>
      <c r="B17" s="16">
        <f>B11+B14+B15+B16</f>
        <v/>
      </c>
      <c r="C17" s="5" t="inlineStr">
        <is>
          <t>USD/batch</t>
        </is>
      </c>
      <c r="D17" s="3" t="inlineStr"/>
    </row>
    <row r="19">
      <c r="A19" s="3" t="inlineStr">
        <is>
          <t>N0: starting cells (paired with Earth)</t>
        </is>
      </c>
      <c r="B19" s="17">
        <f>CMV_Assumptions!$F$6</f>
        <v/>
      </c>
      <c r="C19" s="5" t="inlineStr">
        <is>
          <t>cells</t>
        </is>
      </c>
      <c r="D19" s="3" t="inlineStr"/>
    </row>
    <row r="20">
      <c r="A20" s="3" t="inlineStr">
        <is>
          <t>g_E: Earth growth</t>
        </is>
      </c>
      <c r="B20" s="18">
        <f>CMV_Assumptions!$F$7</f>
        <v/>
      </c>
      <c r="C20" s="5" t="inlineStr">
        <is>
          <t>fold</t>
        </is>
      </c>
      <c r="D20" s="3" t="inlineStr"/>
    </row>
    <row r="21">
      <c r="A21" s="3" t="inlineStr">
        <is>
          <t>r_g: space/Earth growth ratio</t>
        </is>
      </c>
      <c r="B21" s="25">
        <f>CMV_Assumptions!$F$18</f>
        <v/>
      </c>
      <c r="C21" s="5" t="inlineStr">
        <is>
          <t>ratio</t>
        </is>
      </c>
      <c r="D21" s="3" t="inlineStr"/>
    </row>
    <row r="22">
      <c r="A22" s="3" t="inlineStr">
        <is>
          <t>g_S = g_E x r_g</t>
        </is>
      </c>
      <c r="B22" s="26">
        <f>B20*B21</f>
        <v/>
      </c>
      <c r="C22" s="5" t="inlineStr">
        <is>
          <t>fold</t>
        </is>
      </c>
      <c r="D22" s="3" t="inlineStr"/>
    </row>
    <row r="23">
      <c r="A23" s="3" t="inlineStr">
        <is>
          <t>q_E: Earth share of correct cells</t>
        </is>
      </c>
      <c r="B23" s="19">
        <f>CMV_Assumptions!$F$8</f>
        <v/>
      </c>
      <c r="C23" s="5" t="inlineStr">
        <is>
          <t>fraction</t>
        </is>
      </c>
      <c r="D23" s="3" t="inlineStr"/>
    </row>
    <row r="24">
      <c r="A24" s="3" t="inlineStr">
        <is>
          <t>r_q: space/Earth purity ratio (thesis lever)</t>
        </is>
      </c>
      <c r="B24" s="25">
        <f>CMV_Assumptions!$F$19</f>
        <v/>
      </c>
      <c r="C24" s="5" t="inlineStr">
        <is>
          <t>ratio</t>
        </is>
      </c>
      <c r="D24" s="3" t="inlineStr"/>
    </row>
    <row r="25">
      <c r="A25" s="3" t="inlineStr">
        <is>
          <t>q_S = q_E x r_q</t>
        </is>
      </c>
      <c r="B25" s="27">
        <f>B23*B24</f>
        <v/>
      </c>
      <c r="C25" s="5" t="inlineStr">
        <is>
          <t>fraction</t>
        </is>
      </c>
      <c r="D25" s="3" t="inlineStr"/>
    </row>
    <row r="26">
      <c r="A26" s="3" t="inlineStr">
        <is>
          <t>s: post-return retention</t>
        </is>
      </c>
      <c r="B26" s="19">
        <f>CMV_Assumptions!$F$20</f>
        <v/>
      </c>
      <c r="C26" s="5" t="inlineStr">
        <is>
          <t>fraction</t>
        </is>
      </c>
      <c r="D26" s="3" t="inlineStr"/>
    </row>
    <row r="27">
      <c r="A27" s="3" t="inlineStr">
        <is>
          <t>p_S: batch success probability</t>
        </is>
      </c>
      <c r="B27" s="19">
        <f>CMV_Assumptions!$F$21</f>
        <v/>
      </c>
      <c r="C27" s="5" t="inlineStr">
        <is>
          <t>probability</t>
        </is>
      </c>
      <c r="D27" s="3" t="inlineStr"/>
    </row>
    <row r="28">
      <c r="A28" s="3" t="inlineStr">
        <is>
          <t>U: cells per unit</t>
        </is>
      </c>
      <c r="B28" s="17">
        <f>CMV_Assumptions!$F$5</f>
        <v/>
      </c>
      <c r="C28" s="5" t="inlineStr">
        <is>
          <t>cells/unit</t>
        </is>
      </c>
      <c r="D28" s="3" t="inlineStr"/>
    </row>
    <row r="29">
      <c r="A29" s="3" t="inlineStr">
        <is>
          <t>Y_S_pre = N0 x g_S x q_S / U</t>
        </is>
      </c>
      <c r="B29" s="20">
        <f>B19*B22*B25/B28</f>
        <v/>
      </c>
      <c r="C29" s="5" t="inlineStr">
        <is>
          <t>units/batch</t>
        </is>
      </c>
      <c r="D29" s="3" t="inlineStr"/>
    </row>
    <row r="30">
      <c r="A30" s="3" t="inlineStr">
        <is>
          <t>Y_S = Y_S_pre x s</t>
        </is>
      </c>
      <c r="B30" s="20">
        <f>B29*B26</f>
        <v/>
      </c>
      <c r="C30" s="5" t="inlineStr">
        <is>
          <t>units/batch</t>
        </is>
      </c>
      <c r="D30" s="3" t="inlineStr"/>
    </row>
    <row r="31">
      <c r="A31" s="3" t="inlineStr">
        <is>
          <t>Q_S_pre = p_S x Y_S_pre</t>
        </is>
      </c>
      <c r="B31" s="20">
        <f>B27*B29</f>
        <v/>
      </c>
      <c r="C31" s="5" t="inlineStr">
        <is>
          <t>units/batch</t>
        </is>
      </c>
      <c r="D31" s="3" t="inlineStr"/>
    </row>
    <row r="32">
      <c r="A32" s="2" t="inlineStr">
        <is>
          <t>Q_S = p_S x Y_S  (expected delivered per attempted batch)</t>
        </is>
      </c>
      <c r="B32" s="21">
        <f>B27*B30</f>
        <v/>
      </c>
      <c r="C32" s="5" t="inlineStr">
        <is>
          <t>units/batch</t>
        </is>
      </c>
      <c r="D32" s="3" t="inlineStr"/>
    </row>
    <row r="33">
      <c r="A33" s="3" t="inlineStr">
        <is>
          <t>c_S_prod: production cost per unit (before transport/return losses)</t>
        </is>
      </c>
      <c r="B33" s="22">
        <f>IF(B31&gt;0,B11/B31,"No usable output")</f>
        <v/>
      </c>
      <c r="C33" s="5" t="inlineStr">
        <is>
          <t>USD/unit</t>
        </is>
      </c>
      <c r="D33" s="3" t="inlineStr"/>
    </row>
    <row r="34">
      <c r="A34" s="2" t="inlineStr">
        <is>
          <t>c_S: delivered cost per unit</t>
        </is>
      </c>
      <c r="B34" s="23">
        <f>IF(B32&gt;0,B17/B32,"No usable output")</f>
        <v/>
      </c>
      <c r="C34" s="5" t="inlineStr">
        <is>
          <t>USD/unit</t>
        </is>
      </c>
      <c r="D3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74" customWidth="1" min="1" max="1"/>
    <col width="18" customWidth="1" min="2" max="2"/>
    <col width="14" customWidth="1" min="3" max="3"/>
    <col width="80" customWidth="1" min="4" max="4"/>
  </cols>
  <sheetData>
    <row r="1">
      <c r="A1" s="4" t="inlineStr">
        <is>
          <t>Space viability case: heart muscle cells on an autonomous free-flyer (projection) - comparison and viability (deterministic, point estimates)</t>
        </is>
      </c>
    </row>
    <row r="3">
      <c r="A3" s="6" t="inlineStr">
        <is>
          <t>Metric</t>
        </is>
      </c>
      <c r="B3" s="6" t="inlineStr">
        <is>
          <t>Value</t>
        </is>
      </c>
      <c r="C3" s="6" t="inlineStr">
        <is>
          <t>Unit</t>
        </is>
      </c>
      <c r="D3" s="6" t="inlineStr">
        <is>
          <t>Note</t>
        </is>
      </c>
    </row>
    <row r="4">
      <c r="A4" s="3" t="inlineStr">
        <is>
          <t>Earth delivered cost per unit (c_E)</t>
        </is>
      </c>
      <c r="B4" s="28">
        <f>CMV_Earth!B23</f>
        <v/>
      </c>
      <c r="C4" s="5" t="inlineStr">
        <is>
          <t>USD/unit</t>
        </is>
      </c>
      <c r="D4" s="3" t="inlineStr"/>
    </row>
    <row r="5">
      <c r="A5" s="3" t="inlineStr">
        <is>
          <t>Space delivered cost per unit (c_S)</t>
        </is>
      </c>
      <c r="B5" s="28">
        <f>CMV_Space!B34</f>
        <v/>
      </c>
      <c r="C5" s="5" t="inlineStr">
        <is>
          <t>USD/unit</t>
        </is>
      </c>
      <c r="D5" s="3" t="inlineStr"/>
    </row>
    <row r="6">
      <c r="A6" s="3" t="inlineStr">
        <is>
          <t>Space production cost per unit (c_S_prod)</t>
        </is>
      </c>
      <c r="B6" s="28">
        <f>CMV_Space!B33</f>
        <v/>
      </c>
      <c r="C6" s="5" t="inlineStr">
        <is>
          <t>USD/unit</t>
        </is>
      </c>
      <c r="D6" s="3" t="inlineStr">
        <is>
          <t>Includes orbital facility costs; NOT proof of a microgravity effect.</t>
        </is>
      </c>
    </row>
    <row r="7">
      <c r="A7" s="3" t="inlineStr">
        <is>
          <t>Relative delivered savings = 1 - c_S/c_E</t>
        </is>
      </c>
      <c r="B7" s="27">
        <f>IF(AND(ISNUMBER(B4),ISNUMBER(B5),B4&gt;0),1-B5/B4,"Not defined")</f>
        <v/>
      </c>
      <c r="C7" s="5" t="inlineStr"/>
      <c r="D7" s="3" t="inlineStr">
        <is>
          <t>Negative = space more expensive.</t>
        </is>
      </c>
    </row>
    <row r="8">
      <c r="A8" s="2" t="inlineStr">
        <is>
          <t>Verdict</t>
        </is>
      </c>
      <c r="B8" s="29">
        <f>IF(AND(ISNUMBER(B4),ISNUMBER(B5)),IF(B5&lt;B4,"Space cheaper","Earth cheaper or equal"),"See no-output flags")</f>
        <v/>
      </c>
      <c r="C8" s="5" t="inlineStr"/>
      <c r="D8" s="3" t="inlineStr"/>
    </row>
    <row r="10">
      <c r="A10" s="29" t="inlineStr">
        <is>
          <t>AT WHAT COSTS IS IT VIABLE? (each line changes one input, others held at point estimates)</t>
        </is>
      </c>
    </row>
    <row r="11">
      <c r="A11" s="3" t="inlineStr">
        <is>
          <t>Max total space spend per batch to match Earth = c_E x Q_S</t>
        </is>
      </c>
      <c r="B11" s="24">
        <f>IFERROR(B4*CMV_Space!B32,"Not defined")</f>
        <v/>
      </c>
      <c r="C11" s="5" t="inlineStr">
        <is>
          <t>USD/batch</t>
        </is>
      </c>
      <c r="D11" s="3" t="inlineStr"/>
    </row>
    <row r="12">
      <c r="A12" s="3" t="inlineStr">
        <is>
          <t>Max launch price L_max = (c_E x Q_S - C_S_prod - C_return - C_other) / M</t>
        </is>
      </c>
      <c r="B12" s="24">
        <f>IF(CMV_Space!B13&gt;0,(B4*CMV_Space!B32-CMV_Space!B11-CMV_Space!B15-CMV_Space!B16)/CMV_Space!B13,"Not applicable (M=0)")</f>
        <v/>
      </c>
      <c r="C12" s="5" t="inlineStr">
        <is>
          <t>USD/kg</t>
        </is>
      </c>
      <c r="D12" s="3" t="inlineStr">
        <is>
          <t>Negative = not competitive even with free launch.</t>
        </is>
      </c>
    </row>
    <row r="13">
      <c r="A13" s="3" t="inlineStr">
        <is>
          <t>Max return cost per batch</t>
        </is>
      </c>
      <c r="B13" s="24">
        <f>IFERROR(B11-CMV_Space!B11-CMV_Space!B14-CMV_Space!B16,"Not defined")</f>
        <v/>
      </c>
      <c r="C13" s="5" t="inlineStr">
        <is>
          <t>USD/batch</t>
        </is>
      </c>
      <c r="D13" s="3" t="inlineStr">
        <is>
          <t>Negative = not viable even with free return.</t>
        </is>
      </c>
    </row>
    <row r="14">
      <c r="A14" s="3" t="inlineStr">
        <is>
          <t>Max orbital manufacturing cost per batch (C_S_prod)</t>
        </is>
      </c>
      <c r="B14" s="24">
        <f>IFERROR(B11-CMV_Space!B14-CMV_Space!B15-CMV_Space!B16,"Not defined")</f>
        <v/>
      </c>
      <c r="C14" s="5" t="inlineStr">
        <is>
          <t>USD/batch</t>
        </is>
      </c>
      <c r="D14" s="3" t="inlineStr">
        <is>
          <t>Negative = not viable even with free manufacturing.</t>
        </is>
      </c>
    </row>
    <row r="15">
      <c r="A15" s="3" t="inlineStr">
        <is>
          <t>Break-even growth ratio r_g_min = C_S_del x U / (c_E x p_S x N0 x g_E x q_S x s)</t>
        </is>
      </c>
      <c r="B15" s="30">
        <f>IFERROR(CMV_Space!B17*CMV_Space!B28/(B4*CMV_Space!B27*CMV_Space!B19*CMV_Space!B20*CMV_Space!B25*CMV_Space!B26),"Not defined")</f>
        <v/>
      </c>
      <c r="C15" s="5" t="inlineStr">
        <is>
          <t>ratio</t>
        </is>
      </c>
      <c r="D15" s="3" t="inlineStr"/>
    </row>
    <row r="16">
      <c r="A16" s="3" t="inlineStr">
        <is>
          <t>Break-even purity ratio r_q_min = C_S_del x U / (c_E x p_S x N0 x g_S x q_E x s)</t>
        </is>
      </c>
      <c r="B16" s="30">
        <f>IFERROR(CMV_Space!B17*CMV_Space!B28/(B4*CMV_Space!B27*CMV_Space!B19*CMV_Space!B22*CMV_Space!B23*CMV_Space!B26),"Not defined")</f>
        <v/>
      </c>
      <c r="C16" s="5" t="inlineStr">
        <is>
          <t>ratio</t>
        </is>
      </c>
      <c r="D16" s="3" t="inlineStr">
        <is>
          <t>Thesis lever.</t>
        </is>
      </c>
    </row>
    <row r="17">
      <c r="A17" s="3" t="inlineStr">
        <is>
          <t>Maximum possible purity ratio = 1 / q_E (space purity capped at 100%)</t>
        </is>
      </c>
      <c r="B17" s="30">
        <f>IFERROR(1/CMV_Space!B23,"Not defined")</f>
        <v/>
      </c>
      <c r="C17" s="5" t="inlineStr">
        <is>
          <t>ratio</t>
        </is>
      </c>
      <c r="D17" s="3" t="inlineStr"/>
    </row>
    <row r="18">
      <c r="A18" s="2" t="inlineStr">
        <is>
          <t>Can the purity advantage alone make space viable?</t>
        </is>
      </c>
      <c r="B18" s="29">
        <f>IF(AND(ISNUMBER(B16),ISNUMBER(B17)),IF(B16&lt;=B17,"Possible in principle","NO: required ratio exceeds the 100%-purity cap"),"Not defined")</f>
        <v/>
      </c>
      <c r="C18" s="5" t="inlineStr"/>
      <c r="D18" s="3" t="inlineStr"/>
    </row>
    <row r="19">
      <c r="A19" s="3" t="inlineStr">
        <is>
          <t>Space cost per unit if 100% of space cells were correct</t>
        </is>
      </c>
      <c r="B19" s="22">
        <f>IFERROR(CMV_Space!B17/(CMV_Space!B27*CMV_Space!B19*CMV_Space!B22*CMV_Space!B26/CMV_Space!B28),"Not defined")</f>
        <v/>
      </c>
      <c r="C19" s="5" t="inlineStr">
        <is>
          <t>USD/unit</t>
        </is>
      </c>
      <c r="D19" s="3" t="inlineStr">
        <is>
          <t>Best case for the thesis.</t>
        </is>
      </c>
    </row>
    <row r="20">
      <c r="A20" s="3" t="inlineStr">
        <is>
          <t>Required output ratio C_S_del / C_E_del (Q_S/Q_E must exceed this)</t>
        </is>
      </c>
      <c r="B20" s="30">
        <f>IFERROR(CMV_Space!B17/CMV_Earth!B13,"Not defined")</f>
        <v/>
      </c>
      <c r="C20" s="5" t="inlineStr">
        <is>
          <t>ratio</t>
        </is>
      </c>
      <c r="D20" s="3" t="inlineStr"/>
    </row>
    <row r="21">
      <c r="A21" s="3" t="inlineStr">
        <is>
          <t>Current output ratio Q_S / Q_E</t>
        </is>
      </c>
      <c r="B21" s="30">
        <f>IFERROR(CMV_Space!B32/CMV_Earth!B21,"Not defined")</f>
        <v/>
      </c>
      <c r="C21" s="5" t="inlineStr">
        <is>
          <t>ratio</t>
        </is>
      </c>
      <c r="D21" s="3" t="inlineStr"/>
    </row>
    <row r="23">
      <c r="A23" s="3" t="inlineStr">
        <is>
          <t>P(r_g &gt; r_g_min) under the triangular r_g range, all else fixed</t>
        </is>
      </c>
      <c r="B23" s="31">
        <f>IF(ISNUMBER(B15),IF(B15&lt;=CMV_Assumptions!$E$18,1,IF(B15&gt;=CMV_Assumptions!$G$18,0,IF(B15&lt;=CMV_Assumptions!$F$18,1-(B15-CMV_Assumptions!$E$18)^2/((CMV_Assumptions!$G$18-CMV_Assumptions!$E$18)*(CMV_Assumptions!$F$18-CMV_Assumptions!$E$18)),(CMV_Assumptions!$G$18-B15)^2/((CMV_Assumptions!$G$18-CMV_Assumptions!$E$18)*(CMV_Assumptions!$G$18-CMV_Assumptions!$F$18))))),"Not defined")</f>
        <v/>
      </c>
      <c r="C23" s="5" t="inlineStr">
        <is>
          <t>probability</t>
        </is>
      </c>
      <c r="D23" s="3" t="inlineStr">
        <is>
          <t>Analytic triangular tail. Conditional on the range; not a forecast. Joint uncertainty: run the calculator's Monte Carlo.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4" customWidth="1" min="3" max="3"/>
    <col width="30" customWidth="1" min="4" max="4"/>
    <col width="36" customWidth="1" min="5" max="5"/>
    <col width="50" customWidth="1" min="6" max="6"/>
  </cols>
  <sheetData>
    <row r="1">
      <c r="A1" s="4" t="inlineStr">
        <is>
          <t>Space viability case: heart muscle cells on an autonomous free-flyer (projection) - key assumptions and the author's subjective probability each is true</t>
        </is>
      </c>
    </row>
    <row r="2">
      <c r="A2" s="5" t="inlineStr">
        <is>
          <t>Subjective judgments drafted from the evidence inventory for discussion; review and replace with your own. NOT derived from p-values, NOT used in the simulation, NOT independent of one another.</t>
        </is>
      </c>
    </row>
    <row r="4">
      <c r="A4" s="6" t="inlineStr">
        <is>
          <t>ID</t>
        </is>
      </c>
      <c r="B4" s="6" t="inlineStr">
        <is>
          <t>Claim</t>
        </is>
      </c>
      <c r="C4" s="6" t="inlineStr">
        <is>
          <t>Subjective P(true)</t>
        </is>
      </c>
      <c r="D4" s="6" t="inlineStr">
        <is>
          <t>Evidence for</t>
        </is>
      </c>
      <c r="E4" s="6" t="inlineStr">
        <is>
          <t>Evidence against</t>
        </is>
      </c>
      <c r="F4" s="6" t="inlineStr">
        <is>
          <t>Comment</t>
        </is>
      </c>
    </row>
    <row r="5">
      <c r="A5" s="3" t="inlineStr">
        <is>
          <t>B1</t>
        </is>
      </c>
      <c r="B5" s="3" t="inlineStr">
        <is>
          <t>Real microgravity gives ~3x more correct heart cells per input stem cell than the best Earth 3D bioreactor</t>
        </is>
      </c>
      <c r="C5" s="8" t="n">
        <v>0.25</v>
      </c>
      <c r="D5" s="3" t="inlineStr">
        <is>
          <t>C6 (1.5-4x, simulated microgravity), C7 (ISS proliferation)</t>
        </is>
      </c>
      <c r="E5" s="3" t="inlineStr">
        <is>
          <t>C9, C10 (differentiation suppressed)</t>
        </is>
      </c>
      <c r="F5" s="3" t="inlineStr">
        <is>
          <t>The single biggest bet. Test it on the next flight.</t>
        </is>
      </c>
    </row>
    <row r="6">
      <c r="A6" s="3" t="inlineStr">
        <is>
          <t>B2</t>
        </is>
      </c>
      <c r="B6" s="3" t="inlineStr">
        <is>
          <t>Launch to LEO falls to ~$1,000/kg or less for small biotech payloads by the early 2030s</t>
        </is>
      </c>
      <c r="C6" s="8" t="n">
        <v>0.5</v>
      </c>
      <c r="D6" s="3" t="inlineStr">
        <is>
          <t>P1</t>
        </is>
      </c>
      <c r="E6" s="3" t="inlineStr"/>
      <c r="F6" s="3" t="inlineStr">
        <is>
          <t>Starship price unpublished.</t>
        </is>
      </c>
    </row>
    <row r="7">
      <c r="A7" s="3" t="inlineStr">
        <is>
          <t>B3</t>
        </is>
      </c>
      <c r="B7" s="3" t="inlineStr">
        <is>
          <t>An autonomous free-flyer can run a GMP cell-differentiation batch without crew</t>
        </is>
      </c>
      <c r="C7" s="8" t="n">
        <v>0.35</v>
      </c>
      <c r="D7" s="3" t="inlineStr">
        <is>
          <t>P2 (autonomous capsules fly today)</t>
        </is>
      </c>
      <c r="E7" s="3" t="inlineStr"/>
      <c r="F7" s="3" t="inlineStr">
        <is>
          <t>No cell-therapy batch has flown this way.</t>
        </is>
      </c>
    </row>
    <row r="8">
      <c r="A8" s="3" t="inlineStr">
        <is>
          <t>B4</t>
        </is>
      </c>
      <c r="B8" s="3" t="inlineStr">
        <is>
          <t>A reentry capsule flight (~$5M) can be shared by ~50 batches</t>
        </is>
      </c>
      <c r="C8" s="8" t="n">
        <v>0.3</v>
      </c>
      <c r="D8" s="3" t="inlineStr">
        <is>
          <t>P2</t>
        </is>
      </c>
      <c r="E8" s="3" t="inlineStr"/>
      <c r="F8" s="3" t="inlineStr">
        <is>
          <t>Requires high demand and capsule capacity.</t>
        </is>
      </c>
    </row>
    <row r="9">
      <c r="A9" s="3" t="inlineStr">
        <is>
          <t>B5</t>
        </is>
      </c>
      <c r="B9" s="3" t="inlineStr">
        <is>
          <t>Space-made cells pass the same release tests after re-entry (same quality as Earth cells)</t>
        </is>
      </c>
      <c r="C9" s="8" t="n">
        <v>0.45</v>
      </c>
      <c r="D9" s="3" t="inlineStr">
        <is>
          <t>C8 (CM structure unchanged)</t>
        </is>
      </c>
      <c r="E9" s="3" t="inlineStr">
        <is>
          <t>C13 (radiation)</t>
        </is>
      </c>
      <c r="F9" s="3" t="inlineStr">
        <is>
          <t>Equivalence must be shown, not assumed.</t>
        </is>
      </c>
    </row>
    <row r="11">
      <c r="A11" s="3" t="inlineStr">
        <is>
          <t>Product of all P IF independent (they are not; illustration only)</t>
        </is>
      </c>
      <c r="B11" s="31">
        <f>PRODUCT(C5:C9)</f>
        <v/>
      </c>
      <c r="C11" s="5" t="inlineStr"/>
      <c r="D11" s="3" t="inlineStr"/>
    </row>
    <row r="12">
      <c r="A12" s="3" t="inlineStr">
        <is>
          <t>Model-based P(r_g &gt; break-even), from CMV_Comparison</t>
        </is>
      </c>
      <c r="B12" s="32">
        <f>CMV_Comparison!B23</f>
        <v/>
      </c>
      <c r="C12" s="5" t="inlineStr"/>
      <c r="D1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13" customWidth="1" min="3" max="3"/>
    <col width="8" customWidth="1" min="4" max="4"/>
    <col width="13" customWidth="1" min="5" max="5"/>
    <col width="15" customWidth="1" min="6" max="6"/>
    <col width="13" customWidth="1" min="7" max="7"/>
    <col width="12" customWidth="1" min="8" max="8"/>
    <col width="26" customWidth="1" min="9" max="9"/>
    <col width="12" customWidth="1" min="10" max="10"/>
    <col width="14" customWidth="1" min="11" max="11"/>
    <col width="60" customWidth="1" min="12" max="12"/>
    <col width="45" customWidth="1" min="13" max="13"/>
    <col width="14" customWidth="1" min="14" max="14"/>
    <col width="12" customWidth="1" min="15" max="15"/>
  </cols>
  <sheetData>
    <row r="1">
      <c r="A1" s="4" t="inlineStr">
        <is>
          <t>Team thesis: iPSC-derived heart muscle cells (cardiomyocytes): assumptions. Point estimate = Most likely. Blue = input, black = formula.</t>
        </is>
      </c>
    </row>
    <row r="2">
      <c r="A2" s="5" t="inlineStr">
        <is>
          <t>Low/High = range found in (or judged from) the evidence. Subjective confidence = author's probability the true value lies in [Low, High]; not used by the model.</t>
        </is>
      </c>
    </row>
    <row r="4">
      <c r="A4" s="6" t="inlineStr">
        <is>
          <t>ID</t>
        </is>
      </c>
      <c r="B4" s="6" t="inlineStr">
        <is>
          <t>Parameter</t>
        </is>
      </c>
      <c r="C4" s="6" t="inlineStr">
        <is>
          <t>Unit</t>
        </is>
      </c>
      <c r="D4" s="6" t="inlineStr">
        <is>
          <t>Side</t>
        </is>
      </c>
      <c r="E4" s="6" t="inlineStr">
        <is>
          <t>Low</t>
        </is>
      </c>
      <c r="F4" s="6" t="inlineStr">
        <is>
          <t>Most likely (point)</t>
        </is>
      </c>
      <c r="G4" s="6" t="inlineStr">
        <is>
          <t>High</t>
        </is>
      </c>
      <c r="H4" s="6" t="inlineStr">
        <is>
          <t>Distribution</t>
        </is>
      </c>
      <c r="I4" s="6" t="inlineStr">
        <is>
          <t>Evidence status</t>
        </is>
      </c>
      <c r="J4" s="6" t="inlineStr">
        <is>
          <t>Evidence strength</t>
        </is>
      </c>
      <c r="K4" s="6" t="inlineStr">
        <is>
          <t>Source IDs</t>
        </is>
      </c>
      <c r="L4" s="6" t="inlineStr">
        <is>
          <t>Basis / derivation</t>
        </is>
      </c>
      <c r="M4" s="6" t="inlineStr">
        <is>
          <t>Limitations</t>
        </is>
      </c>
      <c r="N4" s="6" t="inlineStr">
        <is>
          <t>Subjective confidence range holds</t>
        </is>
      </c>
      <c r="O4" s="6" t="inlineStr">
        <is>
          <t>Used directly by calculator?</t>
        </is>
      </c>
    </row>
    <row r="5">
      <c r="A5" s="3" t="inlineStr">
        <is>
          <t>U</t>
        </is>
      </c>
      <c r="B5" s="3" t="inlineStr">
        <is>
          <t>Cells per reporting unit</t>
        </is>
      </c>
      <c r="C5" s="3" t="inlineStr">
        <is>
          <t>cells/unit</t>
        </is>
      </c>
      <c r="D5" s="3" t="inlineStr">
        <is>
          <t>Both</t>
        </is>
      </c>
      <c r="E5" s="7" t="n">
        <v>1000000</v>
      </c>
      <c r="F5" s="7" t="n">
        <v>1000000</v>
      </c>
      <c r="G5" s="7" t="n">
        <v>1000000</v>
      </c>
      <c r="H5" s="3" t="inlineStr">
        <is>
          <t>fixed</t>
        </is>
      </c>
      <c r="I5" s="3" t="inlineStr">
        <is>
          <t>definition</t>
        </is>
      </c>
      <c r="J5" s="3" t="inlineStr">
        <is>
          <t>n/a</t>
        </is>
      </c>
      <c r="K5" s="3" t="inlineStr"/>
      <c r="L5" s="3" t="inlineStr">
        <is>
          <t>1 unit = 1 million correct, working heart muscle cells (cTnT+ cardiomyocytes passing release). A clinical dose is ~50-150 units (C11).</t>
        </is>
      </c>
      <c r="M5" s="3" t="inlineStr">
        <is>
          <t>Accounting choice only.</t>
        </is>
      </c>
      <c r="N5" s="8" t="n"/>
      <c r="O5" s="3" t="inlineStr">
        <is>
          <t>yes</t>
        </is>
      </c>
    </row>
    <row r="6">
      <c r="A6" s="3" t="inlineStr">
        <is>
          <t>N0</t>
        </is>
      </c>
      <c r="B6" s="3" t="inlineStr">
        <is>
          <t>Input iPSCs per differentiation batch</t>
        </is>
      </c>
      <c r="C6" s="3" t="inlineStr">
        <is>
          <t>cells</t>
        </is>
      </c>
      <c r="D6" s="3" t="inlineStr">
        <is>
          <t>Both</t>
        </is>
      </c>
      <c r="E6" s="7" t="n">
        <v>1000000000</v>
      </c>
      <c r="F6" s="7" t="n">
        <v>1000000000</v>
      </c>
      <c r="G6" s="7" t="n">
        <v>1000000000</v>
      </c>
      <c r="H6" s="3" t="inlineStr">
        <is>
          <t>fixed</t>
        </is>
      </c>
      <c r="I6" s="3" t="inlineStr">
        <is>
          <t>measured in target system (derived)</t>
        </is>
      </c>
      <c r="J6" s="3" t="inlineStr">
        <is>
          <t>Strong</t>
        </is>
      </c>
      <c r="K6" s="3" t="inlineStr">
        <is>
          <t>C12</t>
        </is>
      </c>
      <c r="L6" s="3" t="inlineStr">
        <is>
          <t>Industrial batch scale: ~1e9 input iPSCs gives ~2.5e9 CMs (C3 ratio); Ncardia reports 7.5e9-cell batches (C12).</t>
        </is>
      </c>
      <c r="M6" s="3" t="inlineStr">
        <is>
          <t>Assumes an orbital bioreactor can run the same batch size, which has NOT been demonstrated (favors space).</t>
        </is>
      </c>
      <c r="N6" s="8" t="n">
        <v>0.5</v>
      </c>
      <c r="O6" s="3" t="inlineStr">
        <is>
          <t>yes</t>
        </is>
      </c>
    </row>
    <row r="7">
      <c r="A7" s="3" t="inlineStr">
        <is>
          <t>g_E</t>
        </is>
      </c>
      <c r="B7" s="3" t="inlineStr">
        <is>
          <t>Earth: total cells out per input iPSC (expansion during differentiation)</t>
        </is>
      </c>
      <c r="C7" s="3" t="inlineStr">
        <is>
          <t>fold</t>
        </is>
      </c>
      <c r="D7" s="3" t="inlineStr">
        <is>
          <t>Earth</t>
        </is>
      </c>
      <c r="E7" s="9" t="n">
        <v>1.5</v>
      </c>
      <c r="F7" s="9" t="n">
        <v>2.8</v>
      </c>
      <c r="G7" s="9" t="n">
        <v>4</v>
      </c>
      <c r="H7" s="3" t="inlineStr">
        <is>
          <t>triangular</t>
        </is>
      </c>
      <c r="I7" s="3" t="inlineStr">
        <is>
          <t>measured in target system (derived)</t>
        </is>
      </c>
      <c r="J7" s="3" t="inlineStr">
        <is>
          <t>Strong</t>
        </is>
      </c>
      <c r="K7" s="3" t="inlineStr">
        <is>
          <t>C3, C2</t>
        </is>
      </c>
      <c r="L7" s="3" t="inlineStr">
        <is>
          <t>~2.5 CMs per input iPSC at ~90% purity -&gt; ~2.8 total cells per input (C3). Range is judgment around that.</t>
        </is>
      </c>
      <c r="M7" s="3" t="inlineStr">
        <is>
          <t>Derived; per-protocol variation large.</t>
        </is>
      </c>
      <c r="N7" s="8" t="n">
        <v>0.6</v>
      </c>
      <c r="O7" s="3" t="inlineStr">
        <is>
          <t>yes</t>
        </is>
      </c>
    </row>
    <row r="8">
      <c r="A8" s="3" t="inlineStr">
        <is>
          <t>q_E</t>
        </is>
      </c>
      <c r="B8" s="3" t="inlineStr">
        <is>
          <t>Earth: share of output that is correct heart muscle cells (purity)</t>
        </is>
      </c>
      <c r="C8" s="3" t="inlineStr">
        <is>
          <t>fraction</t>
        </is>
      </c>
      <c r="D8" s="3" t="inlineStr">
        <is>
          <t>Earth</t>
        </is>
      </c>
      <c r="E8" s="10" t="n">
        <v>0.58</v>
      </c>
      <c r="F8" s="11" t="n">
        <v>0.88</v>
      </c>
      <c r="G8" s="10" t="n">
        <v>0.9399999999999999</v>
      </c>
      <c r="H8" s="3" t="inlineStr">
        <is>
          <t>triangular</t>
        </is>
      </c>
      <c r="I8" s="3" t="inlineStr">
        <is>
          <t>measured in target system</t>
        </is>
      </c>
      <c r="J8" s="3" t="inlineStr">
        <is>
          <t>Strong</t>
        </is>
      </c>
      <c r="K8" s="3" t="inlineStr">
        <is>
          <t>C1, C2, C3, C12</t>
        </is>
      </c>
      <c r="L8" s="3" t="inlineStr">
        <is>
          <t>Bioreactor purity: 58% mean for one iPSC line (C1, low); ~87-90% typical (C3, C12); 93.5% best (C2, high).</t>
        </is>
      </c>
      <c r="M8" s="3" t="inlineStr">
        <is>
          <t>Earth's best 3D process already near 90%+, so there is little room for a purity gain.</t>
        </is>
      </c>
      <c r="N8" s="8" t="n">
        <v>0.8</v>
      </c>
      <c r="O8" s="3" t="inlineStr">
        <is>
          <t>yes</t>
        </is>
      </c>
    </row>
    <row r="9">
      <c r="A9" s="3" t="inlineStr">
        <is>
          <t>p_E</t>
        </is>
      </c>
      <c r="B9" s="3" t="inlineStr">
        <is>
          <t>Earth: chance a batch succeeds and is released</t>
        </is>
      </c>
      <c r="C9" s="3" t="inlineStr">
        <is>
          <t>probability</t>
        </is>
      </c>
      <c r="D9" s="3" t="inlineStr">
        <is>
          <t>Earth</t>
        </is>
      </c>
      <c r="E9" s="10" t="n">
        <v>0.75</v>
      </c>
      <c r="F9" s="10" t="n">
        <v>0.85</v>
      </c>
      <c r="G9" s="10" t="n">
        <v>0.95</v>
      </c>
      <c r="H9" s="3" t="inlineStr">
        <is>
          <t>triangular</t>
        </is>
      </c>
      <c r="I9" s="3" t="inlineStr">
        <is>
          <t>measured in target system</t>
        </is>
      </c>
      <c r="J9" s="3" t="inlineStr">
        <is>
          <t>Strong</t>
        </is>
      </c>
      <c r="K9" s="3" t="inlineStr">
        <is>
          <t>C4, C1</t>
        </is>
      </c>
      <c r="L9" s="3" t="inlineStr">
        <is>
          <t>'&gt;85% purity in over 80% of runs' (C4); all 3 runs from batch-expanded cells failed in C1.</t>
        </is>
      </c>
      <c r="M9" s="3" t="inlineStr">
        <is>
          <t>No published GMP lot-release rate for iPSC-CMs.</t>
        </is>
      </c>
      <c r="N9" s="8" t="n">
        <v>0.6</v>
      </c>
      <c r="O9" s="3" t="inlineStr">
        <is>
          <t>yes</t>
        </is>
      </c>
    </row>
    <row r="10">
      <c r="A10" s="3" t="inlineStr">
        <is>
          <t>E_cells</t>
        </is>
      </c>
      <c r="B10" s="3" t="inlineStr">
        <is>
          <t>Earth: starting iPSCs (master cell bank vial)</t>
        </is>
      </c>
      <c r="C10" s="3" t="inlineStr">
        <is>
          <t>USD/batch</t>
        </is>
      </c>
      <c r="D10" s="3" t="inlineStr">
        <is>
          <t>Earth</t>
        </is>
      </c>
      <c r="E10" s="12" t="n">
        <v>1000</v>
      </c>
      <c r="F10" s="12" t="n">
        <v>5000</v>
      </c>
      <c r="G10" s="12" t="n">
        <v>10000</v>
      </c>
      <c r="H10" s="3" t="inlineStr">
        <is>
          <t>triangular</t>
        </is>
      </c>
      <c r="I10" s="3" t="inlineStr">
        <is>
          <t>measured in target system</t>
        </is>
      </c>
      <c r="J10" s="3" t="inlineStr">
        <is>
          <t>Strong</t>
        </is>
      </c>
      <c r="K10" s="3" t="inlineStr">
        <is>
          <t>C5</t>
        </is>
      </c>
      <c r="L10" s="3" t="inlineStr">
        <is>
          <t>GMP iPSC bank vial ~$1,000-10,000 (C5).</t>
        </is>
      </c>
      <c r="M10" s="3" t="inlineStr">
        <is>
          <t>Excludes $3M+ process development and bank creation costs.</t>
        </is>
      </c>
      <c r="N10" s="8" t="n">
        <v>0.7</v>
      </c>
      <c r="O10" s="3" t="inlineStr">
        <is>
          <t>yes</t>
        </is>
      </c>
    </row>
    <row r="11">
      <c r="A11" s="3" t="inlineStr">
        <is>
          <t>E_consumables</t>
        </is>
      </c>
      <c r="B11" s="3" t="inlineStr">
        <is>
          <t>Earth: media, growth factors, single-use plastics</t>
        </is>
      </c>
      <c r="C11" s="3" t="inlineStr">
        <is>
          <t>USD/batch</t>
        </is>
      </c>
      <c r="D11" s="3" t="inlineStr">
        <is>
          <t>Earth</t>
        </is>
      </c>
      <c r="E11" s="12" t="n">
        <v>10000</v>
      </c>
      <c r="F11" s="12" t="n">
        <v>40000</v>
      </c>
      <c r="G11" s="12" t="n">
        <v>120000</v>
      </c>
      <c r="H11" s="3" t="inlineStr">
        <is>
          <t>triangular</t>
        </is>
      </c>
      <c r="I11" s="3" t="inlineStr">
        <is>
          <t>engineering estimate (derived)</t>
        </is>
      </c>
      <c r="J11" s="3" t="inlineStr">
        <is>
          <t>Weak</t>
        </is>
      </c>
      <c r="K11" s="3" t="inlineStr">
        <is>
          <t>C3</t>
        </is>
      </c>
      <c r="L11" s="3" t="inlineStr">
        <is>
          <t>Research-grade materials ~$569 per 124M CMs (C3) -&gt; ~$11k for ~2.5e9 CMs; GMP-grade media assumed 2-10x higher.</t>
        </is>
      </c>
      <c r="M11" s="3" t="inlineStr">
        <is>
          <t>GMP multiplier is judgment.</t>
        </is>
      </c>
      <c r="N11" s="8" t="n">
        <v>0.5</v>
      </c>
      <c r="O11" s="3" t="inlineStr">
        <is>
          <t>yes</t>
        </is>
      </c>
    </row>
    <row r="12">
      <c r="A12" s="3" t="inlineStr">
        <is>
          <t>E_labor</t>
        </is>
      </c>
      <c r="B12" s="3" t="inlineStr">
        <is>
          <t>Earth: GMP labor</t>
        </is>
      </c>
      <c r="C12" s="3" t="inlineStr">
        <is>
          <t>USD/batch</t>
        </is>
      </c>
      <c r="D12" s="3" t="inlineStr">
        <is>
          <t>Earth</t>
        </is>
      </c>
      <c r="E12" s="12" t="n">
        <v>50000</v>
      </c>
      <c r="F12" s="12" t="n">
        <v>120000</v>
      </c>
      <c r="G12" s="12" t="n">
        <v>250000</v>
      </c>
      <c r="H12" s="3" t="inlineStr">
        <is>
          <t>triangular</t>
        </is>
      </c>
      <c r="I12" s="3" t="inlineStr">
        <is>
          <t>engineering estimate</t>
        </is>
      </c>
      <c r="J12" s="3" t="inlineStr">
        <is>
          <t>Weak</t>
        </is>
      </c>
      <c r="K12" s="3" t="inlineStr">
        <is>
          <t>C5</t>
        </is>
      </c>
      <c r="L12" s="3" t="inlineStr">
        <is>
          <t>Labor is ~50% of hPSC manufacturing cost (C5); sized roughly equal to all other per-batch costs.</t>
        </is>
      </c>
      <c r="M12" s="3" t="inlineStr">
        <is>
          <t>Derived share, not a measured per-batch figure.</t>
        </is>
      </c>
      <c r="N12" s="8" t="n">
        <v>0.5</v>
      </c>
      <c r="O12" s="3" t="inlineStr">
        <is>
          <t>yes</t>
        </is>
      </c>
    </row>
    <row r="13">
      <c r="A13" s="3" t="inlineStr">
        <is>
          <t>E_facility</t>
        </is>
      </c>
      <c r="B13" s="3" t="inlineStr">
        <is>
          <t>Earth: GMP clean-room allocation</t>
        </is>
      </c>
      <c r="C13" s="3" t="inlineStr">
        <is>
          <t>USD/batch</t>
        </is>
      </c>
      <c r="D13" s="3" t="inlineStr">
        <is>
          <t>Earth</t>
        </is>
      </c>
      <c r="E13" s="12" t="n">
        <v>44000</v>
      </c>
      <c r="F13" s="12" t="n">
        <v>73000</v>
      </c>
      <c r="G13" s="12" t="n">
        <v>110000</v>
      </c>
      <c r="H13" s="3" t="inlineStr">
        <is>
          <t>triangular</t>
        </is>
      </c>
      <c r="I13" s="3" t="inlineStr">
        <is>
          <t>engineering estimate (derived)</t>
        </is>
      </c>
      <c r="J13" s="3" t="inlineStr">
        <is>
          <t>Weak</t>
        </is>
      </c>
      <c r="K13" s="3" t="inlineStr">
        <is>
          <t>C5</t>
        </is>
      </c>
      <c r="L13" s="3" t="inlineStr">
        <is>
          <t>Facility upkeep ~$2.2M/yr (C5) / 20-50 batches per year.</t>
        </is>
      </c>
      <c r="M13" s="3" t="inlineStr">
        <is>
          <t>Batches/year is judgment.</t>
        </is>
      </c>
      <c r="N13" s="8" t="n">
        <v>0.55</v>
      </c>
      <c r="O13" s="3" t="inlineStr">
        <is>
          <t>yes</t>
        </is>
      </c>
    </row>
    <row r="14">
      <c r="A14" s="3" t="inlineStr">
        <is>
          <t>E_equipment</t>
        </is>
      </c>
      <c r="B14" s="3" t="inlineStr">
        <is>
          <t>Earth: bioreactor and equipment allocation</t>
        </is>
      </c>
      <c r="C14" s="3" t="inlineStr">
        <is>
          <t>USD/batch</t>
        </is>
      </c>
      <c r="D14" s="3" t="inlineStr">
        <is>
          <t>Earth</t>
        </is>
      </c>
      <c r="E14" s="12" t="n">
        <v>5000</v>
      </c>
      <c r="F14" s="12" t="n">
        <v>15000</v>
      </c>
      <c r="G14" s="12" t="n">
        <v>40000</v>
      </c>
      <c r="H14" s="3" t="inlineStr">
        <is>
          <t>triangular</t>
        </is>
      </c>
      <c r="I14" s="3" t="inlineStr">
        <is>
          <t>engineering estimate</t>
        </is>
      </c>
      <c r="J14" s="3" t="inlineStr">
        <is>
          <t>Weak</t>
        </is>
      </c>
      <c r="K14" s="3" t="inlineStr"/>
      <c r="L14" s="3" t="inlineStr">
        <is>
          <t>Stirred-tank bioreactor system amortized over batches. Author estimate.</t>
        </is>
      </c>
      <c r="M14" s="3" t="inlineStr">
        <is>
          <t>No source extracted.</t>
        </is>
      </c>
      <c r="N14" s="8" t="n">
        <v>0.4</v>
      </c>
      <c r="O14" s="3" t="inlineStr">
        <is>
          <t>yes</t>
        </is>
      </c>
    </row>
    <row r="15">
      <c r="A15" s="3" t="inlineStr">
        <is>
          <t>E_qc</t>
        </is>
      </c>
      <c r="B15" s="3" t="inlineStr">
        <is>
          <t>Earth: release testing</t>
        </is>
      </c>
      <c r="C15" s="3" t="inlineStr">
        <is>
          <t>USD/batch</t>
        </is>
      </c>
      <c r="D15" s="3" t="inlineStr">
        <is>
          <t>Earth</t>
        </is>
      </c>
      <c r="E15" s="12" t="n">
        <v>10000</v>
      </c>
      <c r="F15" s="12" t="n">
        <v>20000</v>
      </c>
      <c r="G15" s="12" t="n">
        <v>50000</v>
      </c>
      <c r="H15" s="3" t="inlineStr">
        <is>
          <t>triangular</t>
        </is>
      </c>
      <c r="I15" s="3" t="inlineStr">
        <is>
          <t>measured in target system</t>
        </is>
      </c>
      <c r="J15" s="3" t="inlineStr">
        <is>
          <t>Strong</t>
        </is>
      </c>
      <c r="K15" s="3" t="inlineStr">
        <is>
          <t>C5</t>
        </is>
      </c>
      <c r="L15" s="3" t="inlineStr">
        <is>
          <t>Outsourced testing ~$10k per lot (C5); more assays for a final cell product.</t>
        </is>
      </c>
      <c r="M15" s="3" t="inlineStr"/>
      <c r="N15" s="8" t="n">
        <v>0.6</v>
      </c>
      <c r="O15" s="3" t="inlineStr">
        <is>
          <t>yes</t>
        </is>
      </c>
    </row>
    <row r="16">
      <c r="A16" s="3" t="inlineStr">
        <is>
          <t>E_other</t>
        </is>
      </c>
      <c r="B16" s="3" t="inlineStr">
        <is>
          <t>Earth: other production cost</t>
        </is>
      </c>
      <c r="C16" s="3" t="inlineStr">
        <is>
          <t>USD/batch</t>
        </is>
      </c>
      <c r="D16" s="3" t="inlineStr">
        <is>
          <t>Earth</t>
        </is>
      </c>
      <c r="E16" s="12" t="n">
        <v>0</v>
      </c>
      <c r="F16" s="12" t="n">
        <v>0</v>
      </c>
      <c r="G16" s="12" t="n">
        <v>0</v>
      </c>
      <c r="H16" s="3" t="inlineStr">
        <is>
          <t>fixed</t>
        </is>
      </c>
      <c r="I16" s="3" t="inlineStr">
        <is>
          <t>not extracted</t>
        </is>
      </c>
      <c r="J16" s="3" t="inlineStr">
        <is>
          <t>n/a</t>
        </is>
      </c>
      <c r="K16" s="3" t="inlineStr"/>
      <c r="L16" s="3" t="inlineStr">
        <is>
          <t>All costs itemized above.</t>
        </is>
      </c>
      <c r="M16" s="3" t="inlineStr"/>
      <c r="N16" s="8" t="n"/>
      <c r="O16" s="3" t="inlineStr">
        <is>
          <t>yes</t>
        </is>
      </c>
    </row>
    <row r="17">
      <c r="A17" s="3" t="inlineStr">
        <is>
          <t>E_delivery</t>
        </is>
      </c>
      <c r="B17" s="3" t="inlineStr">
        <is>
          <t>Earth: delivery cost</t>
        </is>
      </c>
      <c r="C17" s="3" t="inlineStr">
        <is>
          <t>USD/batch</t>
        </is>
      </c>
      <c r="D17" s="3" t="inlineStr">
        <is>
          <t>Earth</t>
        </is>
      </c>
      <c r="E17" s="12" t="n">
        <v>0</v>
      </c>
      <c r="F17" s="12" t="n">
        <v>0</v>
      </c>
      <c r="G17" s="12" t="n">
        <v>0</v>
      </c>
      <c r="H17" s="3" t="inlineStr">
        <is>
          <t>fixed</t>
        </is>
      </c>
      <c r="I17" s="3" t="inlineStr">
        <is>
          <t>not extracted</t>
        </is>
      </c>
      <c r="J17" s="3" t="inlineStr">
        <is>
          <t>n/a</t>
        </is>
      </c>
      <c r="K17" s="3" t="inlineStr"/>
      <c r="L17" s="3" t="inlineStr">
        <is>
          <t>Not modeled. Earth shipping losses also not modeled.</t>
        </is>
      </c>
      <c r="M17" s="3" t="inlineStr">
        <is>
          <t>Slightly favors Earth.</t>
        </is>
      </c>
      <c r="N17" s="8" t="n"/>
      <c r="O17" s="3" t="inlineStr">
        <is>
          <t>yes</t>
        </is>
      </c>
    </row>
    <row r="18">
      <c r="A18" s="3" t="inlineStr">
        <is>
          <t>r_g</t>
        </is>
      </c>
      <c r="B18" s="3" t="inlineStr">
        <is>
          <t>Space vs Earth: total cells out per input iPSC</t>
        </is>
      </c>
      <c r="C18" s="3" t="inlineStr">
        <is>
          <t>ratio</t>
        </is>
      </c>
      <c r="D18" s="3" t="inlineStr">
        <is>
          <t>Space</t>
        </is>
      </c>
      <c r="E18" s="9" t="n">
        <v>0.8</v>
      </c>
      <c r="F18" s="13" t="n">
        <v>1.5</v>
      </c>
      <c r="G18" s="9" t="n">
        <v>4</v>
      </c>
      <c r="H18" s="3" t="inlineStr">
        <is>
          <t>triangular</t>
        </is>
      </c>
      <c r="I18" s="3" t="inlineStr">
        <is>
          <t>measured in another system</t>
        </is>
      </c>
      <c r="J18" s="3" t="inlineStr">
        <is>
          <t>Moderate</t>
        </is>
      </c>
      <c r="K18" s="3" t="inlineStr">
        <is>
          <t>C6, C7, C9, C10</t>
        </is>
      </c>
      <c r="L18" s="3" t="inlineStr">
        <is>
          <t>1.5-4x more CMs per input cell under SIMULATED microgravity vs 3D at 1g (C6); much higher proliferation on ISS (C7); low end allows for slowed differentiation (C9, C10). Mode 1.5 = low end of C6 (judgment).</t>
        </is>
      </c>
      <c r="M18" s="3" t="inlineStr">
        <is>
          <t>Main evidence is simulated microgravity; real-flight yield per input cell not published.</t>
        </is>
      </c>
      <c r="N18" s="8" t="n">
        <v>0.4</v>
      </c>
      <c r="O18" s="3" t="inlineStr">
        <is>
          <t>yes</t>
        </is>
      </c>
    </row>
    <row r="19">
      <c r="A19" s="3" t="inlineStr">
        <is>
          <t>r_q</t>
        </is>
      </c>
      <c r="B19" s="3" t="inlineStr">
        <is>
          <t>Space vs Earth: share of correct heart cells (purity ratio) - THESIS LEVER</t>
        </is>
      </c>
      <c r="C19" s="3" t="inlineStr">
        <is>
          <t>ratio</t>
        </is>
      </c>
      <c r="D19" s="3" t="inlineStr">
        <is>
          <t>Space</t>
        </is>
      </c>
      <c r="E19" s="9" t="n">
        <v>0.9</v>
      </c>
      <c r="F19" s="13" t="n">
        <v>1.03</v>
      </c>
      <c r="G19" s="9" t="n">
        <v>1.06</v>
      </c>
      <c r="H19" s="3" t="inlineStr">
        <is>
          <t>triangular</t>
        </is>
      </c>
      <c r="I19" s="3" t="inlineStr">
        <is>
          <t>measured in another system</t>
        </is>
      </c>
      <c r="J19" s="3" t="inlineStr">
        <is>
          <t>Moderate</t>
        </is>
      </c>
      <c r="K19" s="3" t="inlineStr">
        <is>
          <t>C6, C10, C13</t>
        </is>
      </c>
      <c r="L19" s="3" t="inlineStr">
        <is>
          <t>C6 reports ~99% purity in simulated microgravity; Earth best is ~88-94%, so the ratio can only be ~1.0-1.06 before purity hits 100%. Low end: differentiation inhibited (C10), radiation stress (C13).</t>
        </is>
      </c>
      <c r="M19" s="3" t="inlineStr">
        <is>
          <t>Cap: max(q_E) x max(r_q) must be &lt;= 1. A large purity gain is only possible if Earth purity is low.</t>
        </is>
      </c>
      <c r="N19" s="8" t="n">
        <v>0.5</v>
      </c>
      <c r="O19" s="3" t="inlineStr">
        <is>
          <t>yes</t>
        </is>
      </c>
    </row>
    <row r="20">
      <c r="A20" s="3" t="inlineStr">
        <is>
          <t>s</t>
        </is>
      </c>
      <c r="B20" s="3" t="inlineStr">
        <is>
          <t>Space: share of good cells surviving return, storage, thaw</t>
        </is>
      </c>
      <c r="C20" s="3" t="inlineStr">
        <is>
          <t>fraction</t>
        </is>
      </c>
      <c r="D20" s="3" t="inlineStr">
        <is>
          <t>Space</t>
        </is>
      </c>
      <c r="E20" s="10" t="n">
        <v>0.5</v>
      </c>
      <c r="F20" s="11" t="n">
        <v>0.75</v>
      </c>
      <c r="G20" s="10" t="n">
        <v>0.97</v>
      </c>
      <c r="H20" s="3" t="inlineStr">
        <is>
          <t>triangular</t>
        </is>
      </c>
      <c r="I20" s="3" t="inlineStr">
        <is>
          <t>measured in another system</t>
        </is>
      </c>
      <c r="J20" s="3" t="inlineStr">
        <is>
          <t>Moderate</t>
        </is>
      </c>
      <c r="K20" s="3" t="inlineStr">
        <is>
          <t>S17, S18, C8</t>
        </is>
      </c>
      <c r="L20" s="3" t="inlineStr">
        <is>
          <t>Post-thaw recovery of cryopreserved stem cells ~68-98% (S17, S18); low 0.5 allows for re-entry stress.</t>
        </is>
      </c>
      <c r="M20" s="3" t="inlineStr">
        <is>
          <t>CD34+ data used as proxy; Earth product cryo losses not modeled (favors Earth).</t>
        </is>
      </c>
      <c r="N20" s="8" t="n">
        <v>0.5</v>
      </c>
      <c r="O20" s="3" t="inlineStr">
        <is>
          <t>yes</t>
        </is>
      </c>
    </row>
    <row r="21">
      <c r="A21" s="3" t="inlineStr">
        <is>
          <t>p_S</t>
        </is>
      </c>
      <c r="B21" s="3" t="inlineStr">
        <is>
          <t>Space: chance a batch succeeds and is released</t>
        </is>
      </c>
      <c r="C21" s="3" t="inlineStr">
        <is>
          <t>probability</t>
        </is>
      </c>
      <c r="D21" s="3" t="inlineStr">
        <is>
          <t>Space</t>
        </is>
      </c>
      <c r="E21" s="10" t="n">
        <v>0.5</v>
      </c>
      <c r="F21" s="11" t="n">
        <v>0.8</v>
      </c>
      <c r="G21" s="10" t="n">
        <v>0.95</v>
      </c>
      <c r="H21" s="3" t="inlineStr">
        <is>
          <t>triangular</t>
        </is>
      </c>
      <c r="I21" s="3" t="inlineStr">
        <is>
          <t>expert judgment</t>
        </is>
      </c>
      <c r="J21" s="3" t="inlineStr">
        <is>
          <t>Very weak</t>
        </is>
      </c>
      <c r="K21" s="3" t="inlineStr">
        <is>
          <t>C13</t>
        </is>
      </c>
      <c r="L21" s="3" t="inlineStr">
        <is>
          <t>No orbital GMP data. Includes launch delays, hardware faults, contamination, radiation-induced release failures.</t>
        </is>
      </c>
      <c r="M21" s="3" t="inlineStr">
        <is>
          <t>SPECULATIVE.</t>
        </is>
      </c>
      <c r="N21" s="8" t="n">
        <v>0.35</v>
      </c>
      <c r="O21" s="3" t="inlineStr">
        <is>
          <t>yes</t>
        </is>
      </c>
    </row>
    <row r="22">
      <c r="A22" s="3" t="inlineStr">
        <is>
          <t>S_cells</t>
        </is>
      </c>
      <c r="B22" s="3" t="inlineStr">
        <is>
          <t>Space: starting iPSCs</t>
        </is>
      </c>
      <c r="C22" s="3" t="inlineStr">
        <is>
          <t>USD/batch</t>
        </is>
      </c>
      <c r="D22" s="3" t="inlineStr">
        <is>
          <t>Space</t>
        </is>
      </c>
      <c r="E22" s="12" t="n">
        <v>1000</v>
      </c>
      <c r="F22" s="12" t="n">
        <v>5000</v>
      </c>
      <c r="G22" s="12" t="n">
        <v>10000</v>
      </c>
      <c r="H22" s="3" t="inlineStr">
        <is>
          <t>triangular</t>
        </is>
      </c>
      <c r="I22" s="3" t="inlineStr">
        <is>
          <t>measured in target system</t>
        </is>
      </c>
      <c r="J22" s="3" t="inlineStr">
        <is>
          <t>Strong</t>
        </is>
      </c>
      <c r="K22" s="3" t="inlineStr">
        <is>
          <t>C5</t>
        </is>
      </c>
      <c r="L22" s="3" t="inlineStr">
        <is>
          <t>Same as Earth.</t>
        </is>
      </c>
      <c r="M22" s="3" t="inlineStr">
        <is>
          <t>Sampled independently of Earth.</t>
        </is>
      </c>
      <c r="N22" s="8" t="n">
        <v>0.7</v>
      </c>
      <c r="O22" s="3" t="inlineStr">
        <is>
          <t>yes</t>
        </is>
      </c>
    </row>
    <row r="23">
      <c r="A23" s="3" t="inlineStr">
        <is>
          <t>S_consumables</t>
        </is>
      </c>
      <c r="B23" s="3" t="inlineStr">
        <is>
          <t>Space: media and consumables flown</t>
        </is>
      </c>
      <c r="C23" s="3" t="inlineStr">
        <is>
          <t>USD/batch</t>
        </is>
      </c>
      <c r="D23" s="3" t="inlineStr">
        <is>
          <t>Space</t>
        </is>
      </c>
      <c r="E23" s="12" t="n">
        <v>10000</v>
      </c>
      <c r="F23" s="12" t="n">
        <v>40000</v>
      </c>
      <c r="G23" s="12" t="n">
        <v>120000</v>
      </c>
      <c r="H23" s="3" t="inlineStr">
        <is>
          <t>triangular</t>
        </is>
      </c>
      <c r="I23" s="3" t="inlineStr">
        <is>
          <t>engineering estimate (derived)</t>
        </is>
      </c>
      <c r="J23" s="3" t="inlineStr">
        <is>
          <t>Weak</t>
        </is>
      </c>
      <c r="K23" s="3" t="inlineStr">
        <is>
          <t>C3</t>
        </is>
      </c>
      <c r="L23" s="3" t="inlineStr">
        <is>
          <t>Same as Earth.</t>
        </is>
      </c>
      <c r="M23" s="3" t="inlineStr">
        <is>
          <t>Sampled independently of Earth.</t>
        </is>
      </c>
      <c r="N23" s="8" t="n">
        <v>0.5</v>
      </c>
      <c r="O23" s="3" t="inlineStr">
        <is>
          <t>yes</t>
        </is>
      </c>
    </row>
    <row r="24">
      <c r="A24" s="3" t="inlineStr">
        <is>
          <t>crew_hours</t>
        </is>
      </c>
      <c r="B24" s="3" t="inlineStr">
        <is>
          <t>Space: crew time per batch</t>
        </is>
      </c>
      <c r="C24" s="3" t="inlineStr">
        <is>
          <t>hours/batch</t>
        </is>
      </c>
      <c r="D24" s="3" t="inlineStr">
        <is>
          <t>Space</t>
        </is>
      </c>
      <c r="E24" s="9" t="n">
        <v>0.5</v>
      </c>
      <c r="F24" s="9" t="n">
        <v>3</v>
      </c>
      <c r="G24" s="9" t="n">
        <v>10</v>
      </c>
      <c r="H24" s="3" t="inlineStr">
        <is>
          <t>triangular</t>
        </is>
      </c>
      <c r="I24" s="3" t="inlineStr">
        <is>
          <t>engineering estimate</t>
        </is>
      </c>
      <c r="J24" s="3" t="inlineStr">
        <is>
          <t>Weak</t>
        </is>
      </c>
      <c r="K24" s="3" t="inlineStr"/>
      <c r="L24" s="3" t="inlineStr">
        <is>
          <t>Automated bioreactor; crew installs, swaps media modules, transfers to cold stowage. Author estimate.</t>
        </is>
      </c>
      <c r="M24" s="3" t="inlineStr">
        <is>
          <t>SPECULATIVE; full automation could approach zero.</t>
        </is>
      </c>
      <c r="N24" s="8" t="n">
        <v>0.4</v>
      </c>
      <c r="O24" s="3" t="inlineStr">
        <is>
          <t>via derived row</t>
        </is>
      </c>
    </row>
    <row r="25">
      <c r="A25" s="3" t="inlineStr">
        <is>
          <t>crew_rate</t>
        </is>
      </c>
      <c r="B25" s="3" t="inlineStr">
        <is>
          <t>Space: ISS crew time price</t>
        </is>
      </c>
      <c r="C25" s="3" t="inlineStr">
        <is>
          <t>USD/hour</t>
        </is>
      </c>
      <c r="D25" s="3" t="inlineStr">
        <is>
          <t>Space</t>
        </is>
      </c>
      <c r="E25" s="12" t="n">
        <v>130000</v>
      </c>
      <c r="F25" s="12" t="n">
        <v>130000</v>
      </c>
      <c r="G25" s="12" t="n">
        <v>130000</v>
      </c>
      <c r="H25" s="3" t="inlineStr">
        <is>
          <t>fixed</t>
        </is>
      </c>
      <c r="I25" s="3" t="inlineStr">
        <is>
          <t>measured in target system (price)</t>
        </is>
      </c>
      <c r="J25" s="3" t="inlineStr">
        <is>
          <t>Strong</t>
        </is>
      </c>
      <c r="K25" s="3" t="inlineStr">
        <is>
          <t>S9</t>
        </is>
      </c>
      <c r="L25" s="3" t="inlineStr">
        <is>
          <t>NASA 2021 full-value commercial pricing.</t>
        </is>
      </c>
      <c r="M25" s="3" t="inlineStr">
        <is>
          <t>Policy price; NASA may discount research.</t>
        </is>
      </c>
      <c r="N25" s="8" t="n">
        <v>0.8</v>
      </c>
      <c r="O25" s="3" t="inlineStr">
        <is>
          <t>via derived row</t>
        </is>
      </c>
    </row>
    <row r="26">
      <c r="A26" s="3" t="inlineStr">
        <is>
          <t>S_labor</t>
        </is>
      </c>
      <c r="B26" s="3" t="inlineStr">
        <is>
          <t>Space: crew and operations time</t>
        </is>
      </c>
      <c r="C26" s="3" t="inlineStr">
        <is>
          <t>USD/batch</t>
        </is>
      </c>
      <c r="D26" s="3" t="inlineStr">
        <is>
          <t>Space</t>
        </is>
      </c>
      <c r="E26" s="33">
        <f>E24*E25</f>
        <v/>
      </c>
      <c r="F26" s="33">
        <f>F24*F25</f>
        <v/>
      </c>
      <c r="G26" s="33">
        <f>G24*G25</f>
        <v/>
      </c>
      <c r="H26" s="3" t="inlineStr">
        <is>
          <t>triangular</t>
        </is>
      </c>
      <c r="I26" s="3" t="inlineStr">
        <is>
          <t>engineering estimate (derived)</t>
        </is>
      </c>
      <c r="J26" s="3" t="inlineStr">
        <is>
          <t>Weak</t>
        </is>
      </c>
      <c r="K26" s="3" t="inlineStr">
        <is>
          <t>S9</t>
        </is>
      </c>
      <c r="L26" s="3">
        <f> crew hours x crew price.</f>
        <v/>
      </c>
      <c r="M26" s="3" t="inlineStr"/>
      <c r="N26" s="8" t="n"/>
      <c r="O26" s="3" t="inlineStr">
        <is>
          <t>yes</t>
        </is>
      </c>
    </row>
    <row r="27">
      <c r="A27" s="3" t="inlineStr">
        <is>
          <t>S_facility</t>
        </is>
      </c>
      <c r="B27" s="3" t="inlineStr">
        <is>
          <t>Space: orbital lab fee / implementation partner</t>
        </is>
      </c>
      <c r="C27" s="3" t="inlineStr">
        <is>
          <t>USD/batch</t>
        </is>
      </c>
      <c r="D27" s="3" t="inlineStr">
        <is>
          <t>Space</t>
        </is>
      </c>
      <c r="E27" s="12" t="n">
        <v>50000</v>
      </c>
      <c r="F27" s="12" t="n">
        <v>150000</v>
      </c>
      <c r="G27" s="12" t="n">
        <v>500000</v>
      </c>
      <c r="H27" s="3" t="inlineStr">
        <is>
          <t>triangular</t>
        </is>
      </c>
      <c r="I27" s="3" t="inlineStr">
        <is>
          <t>speculative scenario</t>
        </is>
      </c>
      <c r="J27" s="3" t="inlineStr">
        <is>
          <t>Very weak</t>
        </is>
      </c>
      <c r="K27" s="3" t="inlineStr"/>
      <c r="L27" s="3" t="inlineStr">
        <is>
          <t>No public per-batch price (Space Tango, Redwire, BioServe quote on request). Author placeholder.</t>
        </is>
      </c>
      <c r="M27" s="3" t="inlineStr">
        <is>
          <t>SPECULATIVE.</t>
        </is>
      </c>
      <c r="N27" s="8" t="n">
        <v>0.3</v>
      </c>
      <c r="O27" s="3" t="inlineStr">
        <is>
          <t>yes</t>
        </is>
      </c>
    </row>
    <row r="28">
      <c r="A28" s="3" t="inlineStr">
        <is>
          <t>S_equipment</t>
        </is>
      </c>
      <c r="B28" s="3" t="inlineStr">
        <is>
          <t>Space: flight bioreactor allocation</t>
        </is>
      </c>
      <c r="C28" s="3" t="inlineStr">
        <is>
          <t>USD/batch</t>
        </is>
      </c>
      <c r="D28" s="3" t="inlineStr">
        <is>
          <t>Space</t>
        </is>
      </c>
      <c r="E28" s="12" t="n">
        <v>20000</v>
      </c>
      <c r="F28" s="12" t="n">
        <v>75000</v>
      </c>
      <c r="G28" s="12" t="n">
        <v>250000</v>
      </c>
      <c r="H28" s="3" t="inlineStr">
        <is>
          <t>triangular</t>
        </is>
      </c>
      <c r="I28" s="3" t="inlineStr">
        <is>
          <t>speculative scenario</t>
        </is>
      </c>
      <c r="J28" s="3" t="inlineStr">
        <is>
          <t>Very weak</t>
        </is>
      </c>
      <c r="K28" s="3" t="inlineStr"/>
      <c r="L28" s="3" t="inlineStr">
        <is>
          <t>Flight-qualified bioreactor amortized over batches. Author placeholder.</t>
        </is>
      </c>
      <c r="M28" s="3" t="inlineStr">
        <is>
          <t>SPECULATIVE.</t>
        </is>
      </c>
      <c r="N28" s="8" t="n">
        <v>0.3</v>
      </c>
      <c r="O28" s="3" t="inlineStr">
        <is>
          <t>yes</t>
        </is>
      </c>
    </row>
    <row r="29">
      <c r="A29" s="3" t="inlineStr">
        <is>
          <t>S_qc</t>
        </is>
      </c>
      <c r="B29" s="3" t="inlineStr">
        <is>
          <t>Space: release testing</t>
        </is>
      </c>
      <c r="C29" s="3" t="inlineStr">
        <is>
          <t>USD/batch</t>
        </is>
      </c>
      <c r="D29" s="3" t="inlineStr">
        <is>
          <t>Space</t>
        </is>
      </c>
      <c r="E29" s="12" t="n">
        <v>10000</v>
      </c>
      <c r="F29" s="12" t="n">
        <v>20000</v>
      </c>
      <c r="G29" s="12" t="n">
        <v>50000</v>
      </c>
      <c r="H29" s="3" t="inlineStr">
        <is>
          <t>triangular</t>
        </is>
      </c>
      <c r="I29" s="3" t="inlineStr">
        <is>
          <t>measured in target system</t>
        </is>
      </c>
      <c r="J29" s="3" t="inlineStr">
        <is>
          <t>Strong</t>
        </is>
      </c>
      <c r="K29" s="3" t="inlineStr">
        <is>
          <t>C5</t>
        </is>
      </c>
      <c r="L29" s="3" t="inlineStr">
        <is>
          <t>Same as Earth.</t>
        </is>
      </c>
      <c r="M29" s="3" t="inlineStr"/>
      <c r="N29" s="8" t="n">
        <v>0.6</v>
      </c>
      <c r="O29" s="3" t="inlineStr">
        <is>
          <t>yes</t>
        </is>
      </c>
    </row>
    <row r="30">
      <c r="A30" s="3" t="inlineStr">
        <is>
          <t>S_other</t>
        </is>
      </c>
      <c r="B30" s="3" t="inlineStr">
        <is>
          <t>Space: ground GMP work (pre-flight expansion, post-return processing)</t>
        </is>
      </c>
      <c r="C30" s="3" t="inlineStr">
        <is>
          <t>USD/batch</t>
        </is>
      </c>
      <c r="D30" s="3" t="inlineStr">
        <is>
          <t>Space</t>
        </is>
      </c>
      <c r="E30" s="12" t="n">
        <v>60000</v>
      </c>
      <c r="F30" s="12" t="n">
        <v>150000</v>
      </c>
      <c r="G30" s="12" t="n">
        <v>300000</v>
      </c>
      <c r="H30" s="3" t="inlineStr">
        <is>
          <t>triangular</t>
        </is>
      </c>
      <c r="I30" s="3" t="inlineStr">
        <is>
          <t>engineering estimate</t>
        </is>
      </c>
      <c r="J30" s="3" t="inlineStr">
        <is>
          <t>Weak</t>
        </is>
      </c>
      <c r="K30" s="3" t="inlineStr">
        <is>
          <t>C5</t>
        </is>
      </c>
      <c r="L30" s="3" t="inlineStr">
        <is>
          <t>Ground team still expands iPSCs before flight and processes cells after return (labor + facility share).</t>
        </is>
      </c>
      <c r="M30" s="3" t="inlineStr">
        <is>
          <t>Judgment based on Earth labor/facility lines.</t>
        </is>
      </c>
      <c r="N30" s="8" t="n">
        <v>0.45</v>
      </c>
      <c r="O30" s="3" t="inlineStr">
        <is>
          <t>yes</t>
        </is>
      </c>
    </row>
    <row r="31">
      <c r="A31" s="3" t="inlineStr">
        <is>
          <t>L</t>
        </is>
      </c>
      <c r="B31" s="3" t="inlineStr">
        <is>
          <t>Launch price to orbital lab</t>
        </is>
      </c>
      <c r="C31" s="3" t="inlineStr">
        <is>
          <t>USD/kg</t>
        </is>
      </c>
      <c r="D31" s="3" t="inlineStr">
        <is>
          <t>Space</t>
        </is>
      </c>
      <c r="E31" s="12" t="n">
        <v>6500</v>
      </c>
      <c r="F31" s="14" t="n">
        <v>20000</v>
      </c>
      <c r="G31" s="12" t="n">
        <v>71800</v>
      </c>
      <c r="H31" s="3" t="inlineStr">
        <is>
          <t>triangular</t>
        </is>
      </c>
      <c r="I31" s="3" t="inlineStr">
        <is>
          <t>measured in target system (price)</t>
        </is>
      </c>
      <c r="J31" s="3" t="inlineStr">
        <is>
          <t>Strong</t>
        </is>
      </c>
      <c r="K31" s="3" t="inlineStr">
        <is>
          <t>S9, S10, S11</t>
        </is>
      </c>
      <c r="L31" s="3" t="inlineStr">
        <is>
          <t>Low: rideshare $6,500/kg (free-flyer orbit); mode: NASA ISS upmass $20,000/kg; high: CRS-2 ~$71,800/kg.</t>
        </is>
      </c>
      <c r="M31" s="3" t="inlineStr">
        <is>
          <t>Prices, not costs.</t>
        </is>
      </c>
      <c r="N31" s="8" t="n">
        <v>0.75</v>
      </c>
      <c r="O31" s="3" t="inlineStr">
        <is>
          <t>yes</t>
        </is>
      </c>
    </row>
    <row r="32">
      <c r="A32" s="3" t="inlineStr">
        <is>
          <t>M</t>
        </is>
      </c>
      <c r="B32" s="3" t="inlineStr">
        <is>
          <t>Launched mass per batch (hardware share, media, packaging)</t>
        </is>
      </c>
      <c r="C32" s="3" t="inlineStr">
        <is>
          <t>kg/batch</t>
        </is>
      </c>
      <c r="D32" s="3" t="inlineStr">
        <is>
          <t>Space</t>
        </is>
      </c>
      <c r="E32" s="9" t="n">
        <v>10</v>
      </c>
      <c r="F32" s="9" t="n">
        <v>25</v>
      </c>
      <c r="G32" s="9" t="n">
        <v>60</v>
      </c>
      <c r="H32" s="3" t="inlineStr">
        <is>
          <t>triangular</t>
        </is>
      </c>
      <c r="I32" s="3" t="inlineStr">
        <is>
          <t>engineering estimate</t>
        </is>
      </c>
      <c r="J32" s="3" t="inlineStr">
        <is>
          <t>Weak</t>
        </is>
      </c>
      <c r="K32" s="3" t="inlineStr"/>
      <c r="L32" s="3" t="inlineStr">
        <is>
          <t>~1e9 iPSCs need ~1 L culture plus several litres of differentiation media over ~2 weeks, plus hardware share. Author estimate.</t>
        </is>
      </c>
      <c r="M32" s="3" t="inlineStr">
        <is>
          <t>SPECULATIVE.</t>
        </is>
      </c>
      <c r="N32" s="8" t="n">
        <v>0.4</v>
      </c>
      <c r="O32" s="3" t="inlineStr">
        <is>
          <t>yes</t>
        </is>
      </c>
    </row>
    <row r="33">
      <c r="A33" s="3" t="inlineStr">
        <is>
          <t>ret_mass</t>
        </is>
      </c>
      <c r="B33" s="3" t="inlineStr">
        <is>
          <t>Return mass per batch incl. cold stowage</t>
        </is>
      </c>
      <c r="C33" s="3" t="inlineStr">
        <is>
          <t>kg/batch</t>
        </is>
      </c>
      <c r="D33" s="3" t="inlineStr">
        <is>
          <t>Space</t>
        </is>
      </c>
      <c r="E33" s="9" t="n">
        <v>2</v>
      </c>
      <c r="F33" s="9" t="n">
        <v>5</v>
      </c>
      <c r="G33" s="9" t="n">
        <v>15</v>
      </c>
      <c r="H33" s="3" t="inlineStr">
        <is>
          <t>triangular</t>
        </is>
      </c>
      <c r="I33" s="3" t="inlineStr">
        <is>
          <t>engineering estimate</t>
        </is>
      </c>
      <c r="J33" s="3" t="inlineStr">
        <is>
          <t>Weak</t>
        </is>
      </c>
      <c r="K33" s="3" t="inlineStr"/>
      <c r="L33" s="3" t="inlineStr">
        <is>
          <t>Cryo/cold-stowage container for one batch. Author estimate.</t>
        </is>
      </c>
      <c r="M33" s="3" t="inlineStr">
        <is>
          <t>SPECULATIVE.</t>
        </is>
      </c>
      <c r="N33" s="8" t="n">
        <v>0.5</v>
      </c>
      <c r="O33" s="3" t="inlineStr">
        <is>
          <t>via derived row</t>
        </is>
      </c>
    </row>
    <row r="34">
      <c r="A34" s="3" t="inlineStr">
        <is>
          <t>down_rate</t>
        </is>
      </c>
      <c r="B34" s="3" t="inlineStr">
        <is>
          <t>Downmass price</t>
        </is>
      </c>
      <c r="C34" s="3" t="inlineStr">
        <is>
          <t>USD/kg</t>
        </is>
      </c>
      <c r="D34" s="3" t="inlineStr">
        <is>
          <t>Space</t>
        </is>
      </c>
      <c r="E34" s="12" t="n">
        <v>40000</v>
      </c>
      <c r="F34" s="12" t="n">
        <v>40000</v>
      </c>
      <c r="G34" s="12" t="n">
        <v>40000</v>
      </c>
      <c r="H34" s="3" t="inlineStr">
        <is>
          <t>fixed</t>
        </is>
      </c>
      <c r="I34" s="3" t="inlineStr">
        <is>
          <t>measured in target system (price)</t>
        </is>
      </c>
      <c r="J34" s="3" t="inlineStr">
        <is>
          <t>Strong</t>
        </is>
      </c>
      <c r="K34" s="3" t="inlineStr">
        <is>
          <t>S9</t>
        </is>
      </c>
      <c r="L34" s="3" t="inlineStr">
        <is>
          <t>NASA 2021 full-value downmass price.</t>
        </is>
      </c>
      <c r="M34" s="3" t="inlineStr">
        <is>
          <t>Policy price.</t>
        </is>
      </c>
      <c r="N34" s="8" t="n">
        <v>0.8</v>
      </c>
      <c r="O34" s="3" t="inlineStr">
        <is>
          <t>via derived row</t>
        </is>
      </c>
    </row>
    <row r="35">
      <c r="A35" s="3" t="inlineStr">
        <is>
          <t>C_return</t>
        </is>
      </c>
      <c r="B35" s="3" t="inlineStr">
        <is>
          <t>Return and recovery cost</t>
        </is>
      </c>
      <c r="C35" s="3" t="inlineStr">
        <is>
          <t>USD/batch</t>
        </is>
      </c>
      <c r="D35" s="3" t="inlineStr">
        <is>
          <t>Space</t>
        </is>
      </c>
      <c r="E35" s="33">
        <f>E33*E34</f>
        <v/>
      </c>
      <c r="F35" s="33">
        <f>F33*F34</f>
        <v/>
      </c>
      <c r="G35" s="33">
        <f>G33*G34</f>
        <v/>
      </c>
      <c r="H35" s="3" t="inlineStr">
        <is>
          <t>triangular</t>
        </is>
      </c>
      <c r="I35" s="3" t="inlineStr">
        <is>
          <t>engineering estimate (derived)</t>
        </is>
      </c>
      <c r="J35" s="3" t="inlineStr">
        <is>
          <t>Weak</t>
        </is>
      </c>
      <c r="K35" s="3" t="inlineStr">
        <is>
          <t>S9</t>
        </is>
      </c>
      <c r="L35" s="3">
        <f> return mass x downmass price.</f>
        <v/>
      </c>
      <c r="M35" s="3" t="inlineStr"/>
      <c r="N35" s="8" t="n"/>
      <c r="O35" s="3" t="inlineStr">
        <is>
          <t>yes</t>
        </is>
      </c>
    </row>
    <row r="36">
      <c r="A36" s="3" t="inlineStr">
        <is>
          <t>C_other_del</t>
        </is>
      </c>
      <c r="B36" s="3" t="inlineStr">
        <is>
          <t>Other space delivery cost</t>
        </is>
      </c>
      <c r="C36" s="3" t="inlineStr">
        <is>
          <t>USD/batch</t>
        </is>
      </c>
      <c r="D36" s="3" t="inlineStr">
        <is>
          <t>Space</t>
        </is>
      </c>
      <c r="E36" s="12" t="n">
        <v>0</v>
      </c>
      <c r="F36" s="12" t="n">
        <v>0</v>
      </c>
      <c r="G36" s="12" t="n">
        <v>0</v>
      </c>
      <c r="H36" s="3" t="inlineStr">
        <is>
          <t>fixed</t>
        </is>
      </c>
      <c r="I36" s="3" t="inlineStr">
        <is>
          <t>not extracted</t>
        </is>
      </c>
      <c r="J36" s="3" t="inlineStr">
        <is>
          <t>n/a</t>
        </is>
      </c>
      <c r="K36" s="3" t="inlineStr"/>
      <c r="L36" s="3" t="inlineStr">
        <is>
          <t>Not modeled separately.</t>
        </is>
      </c>
      <c r="M36" s="3" t="inlineStr"/>
      <c r="N36" s="8" t="n"/>
      <c r="O36" s="3" t="inlineStr">
        <is>
          <t>yes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70" customWidth="1" min="4" max="4"/>
  </cols>
  <sheetData>
    <row r="1">
      <c r="A1" s="4" t="inlineStr">
        <is>
          <t>Team thesis: iPSC-derived heart muscle cells (cardiomyocytes) - Earth: cost and output per attempted batch (point estimates)</t>
        </is>
      </c>
    </row>
    <row r="3">
      <c r="A3" s="6" t="inlineStr">
        <is>
          <t>Line item</t>
        </is>
      </c>
      <c r="B3" s="6" t="inlineStr">
        <is>
          <t>Value</t>
        </is>
      </c>
      <c r="C3" s="6" t="inlineStr">
        <is>
          <t>Unit</t>
        </is>
      </c>
      <c r="D3" s="6" t="inlineStr">
        <is>
          <t>Note</t>
        </is>
      </c>
    </row>
    <row r="4">
      <c r="A4" s="3" t="inlineStr">
        <is>
          <t>Earth: starting iPSCs (master cell bank vial)</t>
        </is>
      </c>
      <c r="B4" s="15">
        <f>CM_Assumptions!$F$10</f>
        <v/>
      </c>
      <c r="C4" s="5" t="inlineStr">
        <is>
          <t>USD/batch</t>
        </is>
      </c>
      <c r="D4" s="3" t="inlineStr">
        <is>
          <t>measured in target system</t>
        </is>
      </c>
    </row>
    <row r="5">
      <c r="A5" s="3" t="inlineStr">
        <is>
          <t>Earth: media, growth factors, single-use plastics</t>
        </is>
      </c>
      <c r="B5" s="15">
        <f>CM_Assumptions!$F$11</f>
        <v/>
      </c>
      <c r="C5" s="5" t="inlineStr">
        <is>
          <t>USD/batch</t>
        </is>
      </c>
      <c r="D5" s="3" t="inlineStr">
        <is>
          <t>engineering estimate (derived)</t>
        </is>
      </c>
    </row>
    <row r="6">
      <c r="A6" s="3" t="inlineStr">
        <is>
          <t>Earth: GMP labor</t>
        </is>
      </c>
      <c r="B6" s="15">
        <f>CM_Assumptions!$F$12</f>
        <v/>
      </c>
      <c r="C6" s="5" t="inlineStr">
        <is>
          <t>USD/batch</t>
        </is>
      </c>
      <c r="D6" s="3" t="inlineStr">
        <is>
          <t>engineering estimate</t>
        </is>
      </c>
    </row>
    <row r="7">
      <c r="A7" s="3" t="inlineStr">
        <is>
          <t>Earth: GMP clean-room allocation</t>
        </is>
      </c>
      <c r="B7" s="15">
        <f>CM_Assumptions!$F$13</f>
        <v/>
      </c>
      <c r="C7" s="5" t="inlineStr">
        <is>
          <t>USD/batch</t>
        </is>
      </c>
      <c r="D7" s="3" t="inlineStr">
        <is>
          <t>engineering estimate (derived)</t>
        </is>
      </c>
    </row>
    <row r="8">
      <c r="A8" s="3" t="inlineStr">
        <is>
          <t>Earth: bioreactor and equipment allocation</t>
        </is>
      </c>
      <c r="B8" s="15">
        <f>CM_Assumptions!$F$14</f>
        <v/>
      </c>
      <c r="C8" s="5" t="inlineStr">
        <is>
          <t>USD/batch</t>
        </is>
      </c>
      <c r="D8" s="3" t="inlineStr">
        <is>
          <t>engineering estimate</t>
        </is>
      </c>
    </row>
    <row r="9">
      <c r="A9" s="3" t="inlineStr">
        <is>
          <t>Earth: release testing</t>
        </is>
      </c>
      <c r="B9" s="15">
        <f>CM_Assumptions!$F$15</f>
        <v/>
      </c>
      <c r="C9" s="5" t="inlineStr">
        <is>
          <t>USD/batch</t>
        </is>
      </c>
      <c r="D9" s="3" t="inlineStr">
        <is>
          <t>measured in target system</t>
        </is>
      </c>
    </row>
    <row r="10">
      <c r="A10" s="3" t="inlineStr">
        <is>
          <t>Earth: other production cost</t>
        </is>
      </c>
      <c r="B10" s="15">
        <f>CM_Assumptions!$F$16</f>
        <v/>
      </c>
      <c r="C10" s="5" t="inlineStr">
        <is>
          <t>USD/batch</t>
        </is>
      </c>
      <c r="D10" s="3" t="inlineStr">
        <is>
          <t>not extracted</t>
        </is>
      </c>
    </row>
    <row r="11">
      <c r="A11" s="2" t="inlineStr">
        <is>
          <t>C_E_prod: production cost per batch</t>
        </is>
      </c>
      <c r="B11" s="16">
        <f>SUM(B4:B10)</f>
        <v/>
      </c>
      <c r="C11" s="5" t="inlineStr">
        <is>
          <t>USD/batch</t>
        </is>
      </c>
      <c r="D11" s="3" t="inlineStr"/>
    </row>
    <row r="12">
      <c r="A12" s="3" t="inlineStr">
        <is>
          <t>Earth delivery cost</t>
        </is>
      </c>
      <c r="B12" s="15">
        <f>CM_Assumptions!$F$17</f>
        <v/>
      </c>
      <c r="C12" s="5" t="inlineStr">
        <is>
          <t>USD/batch</t>
        </is>
      </c>
      <c r="D12" s="3" t="inlineStr"/>
    </row>
    <row r="13">
      <c r="A13" s="2" t="inlineStr">
        <is>
          <t>C_E_del: delivered cost per batch</t>
        </is>
      </c>
      <c r="B13" s="16">
        <f>B11+B12</f>
        <v/>
      </c>
      <c r="C13" s="5" t="inlineStr">
        <is>
          <t>USD/batch</t>
        </is>
      </c>
      <c r="D13" s="3" t="inlineStr"/>
    </row>
    <row r="15">
      <c r="A15" s="3" t="inlineStr">
        <is>
          <t>N0: starting cells</t>
        </is>
      </c>
      <c r="B15" s="17">
        <f>CM_Assumptions!$F$6</f>
        <v/>
      </c>
      <c r="C15" s="5" t="inlineStr">
        <is>
          <t>cells</t>
        </is>
      </c>
      <c r="D15" s="3" t="inlineStr"/>
    </row>
    <row r="16">
      <c r="A16" s="3" t="inlineStr">
        <is>
          <t>g_E: growth (cells out per starting cell)</t>
        </is>
      </c>
      <c r="B16" s="18">
        <f>CM_Assumptions!$F$7</f>
        <v/>
      </c>
      <c r="C16" s="5" t="inlineStr">
        <is>
          <t>fold</t>
        </is>
      </c>
      <c r="D16" s="3" t="inlineStr"/>
    </row>
    <row r="17">
      <c r="A17" s="3" t="inlineStr">
        <is>
          <t>q_E: share of correct / qualified cells</t>
        </is>
      </c>
      <c r="B17" s="19">
        <f>CM_Assumptions!$F$8</f>
        <v/>
      </c>
      <c r="C17" s="5" t="inlineStr">
        <is>
          <t>fraction</t>
        </is>
      </c>
      <c r="D17" s="3" t="inlineStr"/>
    </row>
    <row r="18">
      <c r="A18" s="3" t="inlineStr">
        <is>
          <t>p_E: batch success probability</t>
        </is>
      </c>
      <c r="B18" s="19">
        <f>CM_Assumptions!$F$9</f>
        <v/>
      </c>
      <c r="C18" s="5" t="inlineStr">
        <is>
          <t>probability</t>
        </is>
      </c>
      <c r="D18" s="3" t="inlineStr"/>
    </row>
    <row r="19">
      <c r="A19" s="3" t="inlineStr">
        <is>
          <t>U: cells per unit</t>
        </is>
      </c>
      <c r="B19" s="17">
        <f>CM_Assumptions!$F$5</f>
        <v/>
      </c>
      <c r="C19" s="5" t="inlineStr">
        <is>
          <t>cells/unit</t>
        </is>
      </c>
      <c r="D19" s="3" t="inlineStr"/>
    </row>
    <row r="20">
      <c r="A20" s="3" t="inlineStr">
        <is>
          <t>Y_E = N0 x g_E x q_E / U  (successful batch)</t>
        </is>
      </c>
      <c r="B20" s="20">
        <f>B15*B16*B17/B19</f>
        <v/>
      </c>
      <c r="C20" s="5" t="inlineStr">
        <is>
          <t>units/batch</t>
        </is>
      </c>
      <c r="D20" s="3" t="inlineStr"/>
    </row>
    <row r="21">
      <c r="A21" s="2" t="inlineStr">
        <is>
          <t>Q_E = p_E x Y_E  (expected per attempted batch)</t>
        </is>
      </c>
      <c r="B21" s="21">
        <f>B18*B20</f>
        <v/>
      </c>
      <c r="C21" s="5" t="inlineStr">
        <is>
          <t>units/batch</t>
        </is>
      </c>
      <c r="D21" s="3" t="inlineStr"/>
    </row>
    <row r="22">
      <c r="A22" s="3" t="inlineStr">
        <is>
          <t>c_E_prod: production cost per unit</t>
        </is>
      </c>
      <c r="B22" s="22">
        <f>IF(B21&gt;0,B11/B21,"No usable output")</f>
        <v/>
      </c>
      <c r="C22" s="5" t="inlineStr">
        <is>
          <t>USD/unit</t>
        </is>
      </c>
      <c r="D22" s="3" t="inlineStr"/>
    </row>
    <row r="23">
      <c r="A23" s="2" t="inlineStr">
        <is>
          <t>c_E: delivered cost per unit</t>
        </is>
      </c>
      <c r="B23" s="23">
        <f>IF(B21&gt;0,B13/B21,"No usable output")</f>
        <v/>
      </c>
      <c r="C23" s="5" t="inlineStr">
        <is>
          <t>USD/unit</t>
        </is>
      </c>
      <c r="D23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70" customWidth="1" min="4" max="4"/>
  </cols>
  <sheetData>
    <row r="1">
      <c r="A1" s="4" t="inlineStr">
        <is>
          <t>Team thesis: iPSC-derived heart muscle cells (cardiomyocytes) - Space (LEO): cost and output per attempted batch (point estimates)</t>
        </is>
      </c>
    </row>
    <row r="3">
      <c r="A3" s="6" t="inlineStr">
        <is>
          <t>Line item</t>
        </is>
      </c>
      <c r="B3" s="6" t="inlineStr">
        <is>
          <t>Value</t>
        </is>
      </c>
      <c r="C3" s="6" t="inlineStr">
        <is>
          <t>Unit</t>
        </is>
      </c>
      <c r="D3" s="6" t="inlineStr">
        <is>
          <t>Note</t>
        </is>
      </c>
    </row>
    <row r="4">
      <c r="A4" s="3" t="inlineStr">
        <is>
          <t>Space: starting iPSCs</t>
        </is>
      </c>
      <c r="B4" s="15">
        <f>CM_Assumptions!$F$22</f>
        <v/>
      </c>
      <c r="C4" s="5" t="inlineStr">
        <is>
          <t>USD/batch</t>
        </is>
      </c>
      <c r="D4" s="3" t="inlineStr">
        <is>
          <t>measured in target system</t>
        </is>
      </c>
    </row>
    <row r="5">
      <c r="A5" s="3" t="inlineStr">
        <is>
          <t>Space: media and consumables flown</t>
        </is>
      </c>
      <c r="B5" s="15">
        <f>CM_Assumptions!$F$23</f>
        <v/>
      </c>
      <c r="C5" s="5" t="inlineStr">
        <is>
          <t>USD/batch</t>
        </is>
      </c>
      <c r="D5" s="3" t="inlineStr">
        <is>
          <t>engineering estimate (derived)</t>
        </is>
      </c>
    </row>
    <row r="6">
      <c r="A6" s="3" t="inlineStr">
        <is>
          <t>Space: crew and operations time</t>
        </is>
      </c>
      <c r="B6" s="15">
        <f>CM_Assumptions!$F$26</f>
        <v/>
      </c>
      <c r="C6" s="5" t="inlineStr">
        <is>
          <t>USD/batch</t>
        </is>
      </c>
      <c r="D6" s="3" t="inlineStr">
        <is>
          <t>engineering estimate (derived)</t>
        </is>
      </c>
    </row>
    <row r="7">
      <c r="A7" s="3" t="inlineStr">
        <is>
          <t>Space: orbital lab fee / implementation partner</t>
        </is>
      </c>
      <c r="B7" s="15">
        <f>CM_Assumptions!$F$27</f>
        <v/>
      </c>
      <c r="C7" s="5" t="inlineStr">
        <is>
          <t>USD/batch</t>
        </is>
      </c>
      <c r="D7" s="3" t="inlineStr">
        <is>
          <t>speculative scenario</t>
        </is>
      </c>
    </row>
    <row r="8">
      <c r="A8" s="3" t="inlineStr">
        <is>
          <t>Space: flight bioreactor allocation</t>
        </is>
      </c>
      <c r="B8" s="15">
        <f>CM_Assumptions!$F$28</f>
        <v/>
      </c>
      <c r="C8" s="5" t="inlineStr">
        <is>
          <t>USD/batch</t>
        </is>
      </c>
      <c r="D8" s="3" t="inlineStr">
        <is>
          <t>speculative scenario</t>
        </is>
      </c>
    </row>
    <row r="9">
      <c r="A9" s="3" t="inlineStr">
        <is>
          <t>Space: release testing</t>
        </is>
      </c>
      <c r="B9" s="15">
        <f>CM_Assumptions!$F$29</f>
        <v/>
      </c>
      <c r="C9" s="5" t="inlineStr">
        <is>
          <t>USD/batch</t>
        </is>
      </c>
      <c r="D9" s="3" t="inlineStr">
        <is>
          <t>measured in target system</t>
        </is>
      </c>
    </row>
    <row r="10">
      <c r="A10" s="3" t="inlineStr">
        <is>
          <t>Space: ground GMP work (pre-flight expansion, post-return processing)</t>
        </is>
      </c>
      <c r="B10" s="15">
        <f>CM_Assumptions!$F$30</f>
        <v/>
      </c>
      <c r="C10" s="5" t="inlineStr">
        <is>
          <t>USD/batch</t>
        </is>
      </c>
      <c r="D10" s="3" t="inlineStr">
        <is>
          <t>engineering estimate</t>
        </is>
      </c>
    </row>
    <row r="11">
      <c r="A11" s="2" t="inlineStr">
        <is>
          <t>C_S_prod: production (orbital manufacturing) cost per batch</t>
        </is>
      </c>
      <c r="B11" s="16">
        <f>SUM(B4:B10)</f>
        <v/>
      </c>
      <c r="C11" s="5" t="inlineStr">
        <is>
          <t>USD/batch</t>
        </is>
      </c>
      <c r="D11" s="3" t="inlineStr"/>
    </row>
    <row r="12">
      <c r="A12" s="3" t="inlineStr">
        <is>
          <t>L: launch price</t>
        </is>
      </c>
      <c r="B12" s="15">
        <f>CM_Assumptions!$F$31</f>
        <v/>
      </c>
      <c r="C12" s="5" t="inlineStr">
        <is>
          <t>USD/kg</t>
        </is>
      </c>
      <c r="D12" s="3" t="inlineStr"/>
    </row>
    <row r="13">
      <c r="A13" s="3" t="inlineStr">
        <is>
          <t>M: launched mass</t>
        </is>
      </c>
      <c r="B13" s="18">
        <f>CM_Assumptions!$F$32</f>
        <v/>
      </c>
      <c r="C13" s="5" t="inlineStr">
        <is>
          <t>kg/batch</t>
        </is>
      </c>
      <c r="D13" s="3" t="inlineStr"/>
    </row>
    <row r="14">
      <c r="A14" s="3" t="inlineStr">
        <is>
          <t>C_launch = L x M</t>
        </is>
      </c>
      <c r="B14" s="24">
        <f>B12*B13</f>
        <v/>
      </c>
      <c r="C14" s="5" t="inlineStr">
        <is>
          <t>USD/batch</t>
        </is>
      </c>
      <c r="D14" s="3" t="inlineStr"/>
    </row>
    <row r="15">
      <c r="A15" s="3" t="inlineStr">
        <is>
          <t>Return and recovery (return mass x downmass price)</t>
        </is>
      </c>
      <c r="B15" s="15">
        <f>CM_Assumptions!$F$35</f>
        <v/>
      </c>
      <c r="C15" s="5" t="inlineStr">
        <is>
          <t>USD/batch</t>
        </is>
      </c>
      <c r="D15" s="3" t="inlineStr"/>
    </row>
    <row r="16">
      <c r="A16" s="3" t="inlineStr">
        <is>
          <t>Other delivery</t>
        </is>
      </c>
      <c r="B16" s="15">
        <f>CM_Assumptions!$F$36</f>
        <v/>
      </c>
      <c r="C16" s="5" t="inlineStr">
        <is>
          <t>USD/batch</t>
        </is>
      </c>
      <c r="D16" s="3" t="inlineStr"/>
    </row>
    <row r="17">
      <c r="A17" s="2" t="inlineStr">
        <is>
          <t>C_S_del: delivered cost per batch</t>
        </is>
      </c>
      <c r="B17" s="16">
        <f>B11+B14+B15+B16</f>
        <v/>
      </c>
      <c r="C17" s="5" t="inlineStr">
        <is>
          <t>USD/batch</t>
        </is>
      </c>
      <c r="D17" s="3" t="inlineStr"/>
    </row>
    <row r="19">
      <c r="A19" s="3" t="inlineStr">
        <is>
          <t>N0: starting cells (paired with Earth)</t>
        </is>
      </c>
      <c r="B19" s="17">
        <f>CM_Assumptions!$F$6</f>
        <v/>
      </c>
      <c r="C19" s="5" t="inlineStr">
        <is>
          <t>cells</t>
        </is>
      </c>
      <c r="D19" s="3" t="inlineStr"/>
    </row>
    <row r="20">
      <c r="A20" s="3" t="inlineStr">
        <is>
          <t>g_E: Earth growth</t>
        </is>
      </c>
      <c r="B20" s="18">
        <f>CM_Assumptions!$F$7</f>
        <v/>
      </c>
      <c r="C20" s="5" t="inlineStr">
        <is>
          <t>fold</t>
        </is>
      </c>
      <c r="D20" s="3" t="inlineStr"/>
    </row>
    <row r="21">
      <c r="A21" s="3" t="inlineStr">
        <is>
          <t>r_g: space/Earth growth ratio</t>
        </is>
      </c>
      <c r="B21" s="25">
        <f>CM_Assumptions!$F$18</f>
        <v/>
      </c>
      <c r="C21" s="5" t="inlineStr">
        <is>
          <t>ratio</t>
        </is>
      </c>
      <c r="D21" s="3" t="inlineStr"/>
    </row>
    <row r="22">
      <c r="A22" s="3" t="inlineStr">
        <is>
          <t>g_S = g_E x r_g</t>
        </is>
      </c>
      <c r="B22" s="26">
        <f>B20*B21</f>
        <v/>
      </c>
      <c r="C22" s="5" t="inlineStr">
        <is>
          <t>fold</t>
        </is>
      </c>
      <c r="D22" s="3" t="inlineStr"/>
    </row>
    <row r="23">
      <c r="A23" s="3" t="inlineStr">
        <is>
          <t>q_E: Earth share of correct cells</t>
        </is>
      </c>
      <c r="B23" s="19">
        <f>CM_Assumptions!$F$8</f>
        <v/>
      </c>
      <c r="C23" s="5" t="inlineStr">
        <is>
          <t>fraction</t>
        </is>
      </c>
      <c r="D23" s="3" t="inlineStr"/>
    </row>
    <row r="24">
      <c r="A24" s="3" t="inlineStr">
        <is>
          <t>r_q: space/Earth purity ratio (thesis lever)</t>
        </is>
      </c>
      <c r="B24" s="25">
        <f>CM_Assumptions!$F$19</f>
        <v/>
      </c>
      <c r="C24" s="5" t="inlineStr">
        <is>
          <t>ratio</t>
        </is>
      </c>
      <c r="D24" s="3" t="inlineStr"/>
    </row>
    <row r="25">
      <c r="A25" s="3" t="inlineStr">
        <is>
          <t>q_S = q_E x r_q</t>
        </is>
      </c>
      <c r="B25" s="27">
        <f>B23*B24</f>
        <v/>
      </c>
      <c r="C25" s="5" t="inlineStr">
        <is>
          <t>fraction</t>
        </is>
      </c>
      <c r="D25" s="3" t="inlineStr"/>
    </row>
    <row r="26">
      <c r="A26" s="3" t="inlineStr">
        <is>
          <t>s: post-return retention</t>
        </is>
      </c>
      <c r="B26" s="19">
        <f>CM_Assumptions!$F$20</f>
        <v/>
      </c>
      <c r="C26" s="5" t="inlineStr">
        <is>
          <t>fraction</t>
        </is>
      </c>
      <c r="D26" s="3" t="inlineStr"/>
    </row>
    <row r="27">
      <c r="A27" s="3" t="inlineStr">
        <is>
          <t>p_S: batch success probability</t>
        </is>
      </c>
      <c r="B27" s="19">
        <f>CM_Assumptions!$F$21</f>
        <v/>
      </c>
      <c r="C27" s="5" t="inlineStr">
        <is>
          <t>probability</t>
        </is>
      </c>
      <c r="D27" s="3" t="inlineStr"/>
    </row>
    <row r="28">
      <c r="A28" s="3" t="inlineStr">
        <is>
          <t>U: cells per unit</t>
        </is>
      </c>
      <c r="B28" s="17">
        <f>CM_Assumptions!$F$5</f>
        <v/>
      </c>
      <c r="C28" s="5" t="inlineStr">
        <is>
          <t>cells/unit</t>
        </is>
      </c>
      <c r="D28" s="3" t="inlineStr"/>
    </row>
    <row r="29">
      <c r="A29" s="3" t="inlineStr">
        <is>
          <t>Y_S_pre = N0 x g_S x q_S / U</t>
        </is>
      </c>
      <c r="B29" s="20">
        <f>B19*B22*B25/B28</f>
        <v/>
      </c>
      <c r="C29" s="5" t="inlineStr">
        <is>
          <t>units/batch</t>
        </is>
      </c>
      <c r="D29" s="3" t="inlineStr"/>
    </row>
    <row r="30">
      <c r="A30" s="3" t="inlineStr">
        <is>
          <t>Y_S = Y_S_pre x s</t>
        </is>
      </c>
      <c r="B30" s="20">
        <f>B29*B26</f>
        <v/>
      </c>
      <c r="C30" s="5" t="inlineStr">
        <is>
          <t>units/batch</t>
        </is>
      </c>
      <c r="D30" s="3" t="inlineStr"/>
    </row>
    <row r="31">
      <c r="A31" s="3" t="inlineStr">
        <is>
          <t>Q_S_pre = p_S x Y_S_pre</t>
        </is>
      </c>
      <c r="B31" s="20">
        <f>B27*B29</f>
        <v/>
      </c>
      <c r="C31" s="5" t="inlineStr">
        <is>
          <t>units/batch</t>
        </is>
      </c>
      <c r="D31" s="3" t="inlineStr"/>
    </row>
    <row r="32">
      <c r="A32" s="2" t="inlineStr">
        <is>
          <t>Q_S = p_S x Y_S  (expected delivered per attempted batch)</t>
        </is>
      </c>
      <c r="B32" s="21">
        <f>B27*B30</f>
        <v/>
      </c>
      <c r="C32" s="5" t="inlineStr">
        <is>
          <t>units/batch</t>
        </is>
      </c>
      <c r="D32" s="3" t="inlineStr"/>
    </row>
    <row r="33">
      <c r="A33" s="3" t="inlineStr">
        <is>
          <t>c_S_prod: production cost per unit (before transport/return losses)</t>
        </is>
      </c>
      <c r="B33" s="22">
        <f>IF(B31&gt;0,B11/B31,"No usable output")</f>
        <v/>
      </c>
      <c r="C33" s="5" t="inlineStr">
        <is>
          <t>USD/unit</t>
        </is>
      </c>
      <c r="D33" s="3" t="inlineStr"/>
    </row>
    <row r="34">
      <c r="A34" s="2" t="inlineStr">
        <is>
          <t>c_S: delivered cost per unit</t>
        </is>
      </c>
      <c r="B34" s="23">
        <f>IF(B32&gt;0,B17/B32,"No usable output")</f>
        <v/>
      </c>
      <c r="C34" s="5" t="inlineStr">
        <is>
          <t>USD/unit</t>
        </is>
      </c>
      <c r="D34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74" customWidth="1" min="1" max="1"/>
    <col width="18" customWidth="1" min="2" max="2"/>
    <col width="14" customWidth="1" min="3" max="3"/>
    <col width="80" customWidth="1" min="4" max="4"/>
  </cols>
  <sheetData>
    <row r="1">
      <c r="A1" s="4" t="inlineStr">
        <is>
          <t>Team thesis: iPSC-derived heart muscle cells (cardiomyocytes) - comparison and viability (deterministic, point estimates)</t>
        </is>
      </c>
    </row>
    <row r="3">
      <c r="A3" s="6" t="inlineStr">
        <is>
          <t>Metric</t>
        </is>
      </c>
      <c r="B3" s="6" t="inlineStr">
        <is>
          <t>Value</t>
        </is>
      </c>
      <c r="C3" s="6" t="inlineStr">
        <is>
          <t>Unit</t>
        </is>
      </c>
      <c r="D3" s="6" t="inlineStr">
        <is>
          <t>Note</t>
        </is>
      </c>
    </row>
    <row r="4">
      <c r="A4" s="3" t="inlineStr">
        <is>
          <t>Earth delivered cost per unit (c_E)</t>
        </is>
      </c>
      <c r="B4" s="28">
        <f>CM_Earth!B23</f>
        <v/>
      </c>
      <c r="C4" s="5" t="inlineStr">
        <is>
          <t>USD/unit</t>
        </is>
      </c>
      <c r="D4" s="3" t="inlineStr"/>
    </row>
    <row r="5">
      <c r="A5" s="3" t="inlineStr">
        <is>
          <t>Space delivered cost per unit (c_S)</t>
        </is>
      </c>
      <c r="B5" s="28">
        <f>CM_Space!B34</f>
        <v/>
      </c>
      <c r="C5" s="5" t="inlineStr">
        <is>
          <t>USD/unit</t>
        </is>
      </c>
      <c r="D5" s="3" t="inlineStr"/>
    </row>
    <row r="6">
      <c r="A6" s="3" t="inlineStr">
        <is>
          <t>Space production cost per unit (c_S_prod)</t>
        </is>
      </c>
      <c r="B6" s="28">
        <f>CM_Space!B33</f>
        <v/>
      </c>
      <c r="C6" s="5" t="inlineStr">
        <is>
          <t>USD/unit</t>
        </is>
      </c>
      <c r="D6" s="3" t="inlineStr">
        <is>
          <t>Includes orbital facility costs; NOT proof of a microgravity effect.</t>
        </is>
      </c>
    </row>
    <row r="7">
      <c r="A7" s="3" t="inlineStr">
        <is>
          <t>Relative delivered savings = 1 - c_S/c_E</t>
        </is>
      </c>
      <c r="B7" s="27">
        <f>IF(AND(ISNUMBER(B4),ISNUMBER(B5),B4&gt;0),1-B5/B4,"Not defined")</f>
        <v/>
      </c>
      <c r="C7" s="5" t="inlineStr"/>
      <c r="D7" s="3" t="inlineStr">
        <is>
          <t>Negative = space more expensive.</t>
        </is>
      </c>
    </row>
    <row r="8">
      <c r="A8" s="2" t="inlineStr">
        <is>
          <t>Verdict</t>
        </is>
      </c>
      <c r="B8" s="29">
        <f>IF(AND(ISNUMBER(B4),ISNUMBER(B5)),IF(B5&lt;B4,"Space cheaper","Earth cheaper or equal"),"See no-output flags")</f>
        <v/>
      </c>
      <c r="C8" s="5" t="inlineStr"/>
      <c r="D8" s="3" t="inlineStr"/>
    </row>
    <row r="10">
      <c r="A10" s="29" t="inlineStr">
        <is>
          <t>AT WHAT COSTS IS IT VIABLE? (each line changes one input, others held at point estimates)</t>
        </is>
      </c>
    </row>
    <row r="11">
      <c r="A11" s="3" t="inlineStr">
        <is>
          <t>Max total space spend per batch to match Earth = c_E x Q_S</t>
        </is>
      </c>
      <c r="B11" s="24">
        <f>IFERROR(B4*CM_Space!B32,"Not defined")</f>
        <v/>
      </c>
      <c r="C11" s="5" t="inlineStr">
        <is>
          <t>USD/batch</t>
        </is>
      </c>
      <c r="D11" s="3" t="inlineStr"/>
    </row>
    <row r="12">
      <c r="A12" s="3" t="inlineStr">
        <is>
          <t>Max launch price L_max = (c_E x Q_S - C_S_prod - C_return - C_other) / M</t>
        </is>
      </c>
      <c r="B12" s="24">
        <f>IF(CM_Space!B13&gt;0,(B4*CM_Space!B32-CM_Space!B11-CM_Space!B15-CM_Space!B16)/CM_Space!B13,"Not applicable (M=0)")</f>
        <v/>
      </c>
      <c r="C12" s="5" t="inlineStr">
        <is>
          <t>USD/kg</t>
        </is>
      </c>
      <c r="D12" s="3" t="inlineStr">
        <is>
          <t>Negative = not competitive even with free launch.</t>
        </is>
      </c>
    </row>
    <row r="13">
      <c r="A13" s="3" t="inlineStr">
        <is>
          <t>Max return cost per batch</t>
        </is>
      </c>
      <c r="B13" s="24">
        <f>IFERROR(B11-CM_Space!B11-CM_Space!B14-CM_Space!B16,"Not defined")</f>
        <v/>
      </c>
      <c r="C13" s="5" t="inlineStr">
        <is>
          <t>USD/batch</t>
        </is>
      </c>
      <c r="D13" s="3" t="inlineStr">
        <is>
          <t>Negative = not viable even with free return.</t>
        </is>
      </c>
    </row>
    <row r="14">
      <c r="A14" s="3" t="inlineStr">
        <is>
          <t>Max orbital manufacturing cost per batch (C_S_prod)</t>
        </is>
      </c>
      <c r="B14" s="24">
        <f>IFERROR(B11-CM_Space!B14-CM_Space!B15-CM_Space!B16,"Not defined")</f>
        <v/>
      </c>
      <c r="C14" s="5" t="inlineStr">
        <is>
          <t>USD/batch</t>
        </is>
      </c>
      <c r="D14" s="3" t="inlineStr">
        <is>
          <t>Negative = not viable even with free manufacturing.</t>
        </is>
      </c>
    </row>
    <row r="15">
      <c r="A15" s="3" t="inlineStr">
        <is>
          <t>Break-even growth ratio r_g_min = C_S_del x U / (c_E x p_S x N0 x g_E x q_S x s)</t>
        </is>
      </c>
      <c r="B15" s="30">
        <f>IFERROR(CM_Space!B17*CM_Space!B28/(B4*CM_Space!B27*CM_Space!B19*CM_Space!B20*CM_Space!B25*CM_Space!B26),"Not defined")</f>
        <v/>
      </c>
      <c r="C15" s="5" t="inlineStr">
        <is>
          <t>ratio</t>
        </is>
      </c>
      <c r="D15" s="3" t="inlineStr"/>
    </row>
    <row r="16">
      <c r="A16" s="3" t="inlineStr">
        <is>
          <t>Break-even purity ratio r_q_min = C_S_del x U / (c_E x p_S x N0 x g_S x q_E x s)</t>
        </is>
      </c>
      <c r="B16" s="30">
        <f>IFERROR(CM_Space!B17*CM_Space!B28/(B4*CM_Space!B27*CM_Space!B19*CM_Space!B22*CM_Space!B23*CM_Space!B26),"Not defined")</f>
        <v/>
      </c>
      <c r="C16" s="5" t="inlineStr">
        <is>
          <t>ratio</t>
        </is>
      </c>
      <c r="D16" s="3" t="inlineStr">
        <is>
          <t>Thesis lever.</t>
        </is>
      </c>
    </row>
    <row r="17">
      <c r="A17" s="3" t="inlineStr">
        <is>
          <t>Maximum possible purity ratio = 1 / q_E (space purity capped at 100%)</t>
        </is>
      </c>
      <c r="B17" s="30">
        <f>IFERROR(1/CM_Space!B23,"Not defined")</f>
        <v/>
      </c>
      <c r="C17" s="5" t="inlineStr">
        <is>
          <t>ratio</t>
        </is>
      </c>
      <c r="D17" s="3" t="inlineStr"/>
    </row>
    <row r="18">
      <c r="A18" s="2" t="inlineStr">
        <is>
          <t>Can the purity advantage alone make space viable?</t>
        </is>
      </c>
      <c r="B18" s="29">
        <f>IF(AND(ISNUMBER(B16),ISNUMBER(B17)),IF(B16&lt;=B17,"Possible in principle","NO: required ratio exceeds the 100%-purity cap"),"Not defined")</f>
        <v/>
      </c>
      <c r="C18" s="5" t="inlineStr"/>
      <c r="D18" s="3" t="inlineStr"/>
    </row>
    <row r="19">
      <c r="A19" s="3" t="inlineStr">
        <is>
          <t>Space cost per unit if 100% of space cells were correct</t>
        </is>
      </c>
      <c r="B19" s="22">
        <f>IFERROR(CM_Space!B17/(CM_Space!B27*CM_Space!B19*CM_Space!B22*CM_Space!B26/CM_Space!B28),"Not defined")</f>
        <v/>
      </c>
      <c r="C19" s="5" t="inlineStr">
        <is>
          <t>USD/unit</t>
        </is>
      </c>
      <c r="D19" s="3" t="inlineStr">
        <is>
          <t>Best case for the thesis.</t>
        </is>
      </c>
    </row>
    <row r="20">
      <c r="A20" s="3" t="inlineStr">
        <is>
          <t>Required output ratio C_S_del / C_E_del (Q_S/Q_E must exceed this)</t>
        </is>
      </c>
      <c r="B20" s="30">
        <f>IFERROR(CM_Space!B17/CM_Earth!B13,"Not defined")</f>
        <v/>
      </c>
      <c r="C20" s="5" t="inlineStr">
        <is>
          <t>ratio</t>
        </is>
      </c>
      <c r="D20" s="3" t="inlineStr"/>
    </row>
    <row r="21">
      <c r="A21" s="3" t="inlineStr">
        <is>
          <t>Current output ratio Q_S / Q_E</t>
        </is>
      </c>
      <c r="B21" s="30">
        <f>IFERROR(CM_Space!B32/CM_Earth!B21,"Not defined")</f>
        <v/>
      </c>
      <c r="C21" s="5" t="inlineStr">
        <is>
          <t>ratio</t>
        </is>
      </c>
      <c r="D21" s="3" t="inlineStr"/>
    </row>
    <row r="23">
      <c r="A23" s="3" t="inlineStr">
        <is>
          <t>P(r_g &gt; r_g_min) under the triangular r_g range, all else fixed</t>
        </is>
      </c>
      <c r="B23" s="31">
        <f>IF(ISNUMBER(B15),IF(B15&lt;=CM_Assumptions!$E$18,1,IF(B15&gt;=CM_Assumptions!$G$18,0,IF(B15&lt;=CM_Assumptions!$F$18,1-(B15-CM_Assumptions!$E$18)^2/((CM_Assumptions!$G$18-CM_Assumptions!$E$18)*(CM_Assumptions!$F$18-CM_Assumptions!$E$18)),(CM_Assumptions!$G$18-B15)^2/((CM_Assumptions!$G$18-CM_Assumptions!$E$18)*(CM_Assumptions!$G$18-CM_Assumptions!$F$18))))),"Not defined")</f>
        <v/>
      </c>
      <c r="C23" s="5" t="inlineStr">
        <is>
          <t>probability</t>
        </is>
      </c>
      <c r="D23" s="3" t="inlineStr">
        <is>
          <t>Analytic triangular tail. Conditional on the range; not a forecast. Joint uncertainty: run the calculator's Monte Carlo.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4" customWidth="1" min="3" max="3"/>
    <col width="30" customWidth="1" min="4" max="4"/>
    <col width="36" customWidth="1" min="5" max="5"/>
    <col width="50" customWidth="1" min="6" max="6"/>
  </cols>
  <sheetData>
    <row r="1">
      <c r="A1" s="4" t="inlineStr">
        <is>
          <t>Team thesis: iPSC-derived heart muscle cells (cardiomyocytes) - key assumptions and the author's subjective probability each is true</t>
        </is>
      </c>
    </row>
    <row r="2">
      <c r="A2" s="5" t="inlineStr">
        <is>
          <t>Subjective judgments drafted from the evidence inventory for discussion; review and replace with your own. NOT derived from p-values, NOT used in the simulation, NOT independent of one another.</t>
        </is>
      </c>
    </row>
    <row r="4">
      <c r="A4" s="6" t="inlineStr">
        <is>
          <t>ID</t>
        </is>
      </c>
      <c r="B4" s="6" t="inlineStr">
        <is>
          <t>Claim</t>
        </is>
      </c>
      <c r="C4" s="6" t="inlineStr">
        <is>
          <t>Subjective P(true)</t>
        </is>
      </c>
      <c r="D4" s="6" t="inlineStr">
        <is>
          <t>Evidence for</t>
        </is>
      </c>
      <c r="E4" s="6" t="inlineStr">
        <is>
          <t>Evidence against</t>
        </is>
      </c>
      <c r="F4" s="6" t="inlineStr">
        <is>
          <t>Comment</t>
        </is>
      </c>
    </row>
    <row r="5">
      <c r="A5" s="3" t="inlineStr">
        <is>
          <t>A1</t>
        </is>
      </c>
      <c r="B5" s="3" t="inlineStr">
        <is>
          <t>Real microgravity yields more correct heart cells per input iPSC than the best Earth 3D bioreactor (r_g x r_q &gt; 1)</t>
        </is>
      </c>
      <c r="C5" s="8" t="n">
        <v>0.35</v>
      </c>
      <c r="D5" s="3" t="inlineStr">
        <is>
          <t>C6 (1.5-4x, simulated), C7 (proliferation on ISS)</t>
        </is>
      </c>
      <c r="E5" s="3" t="inlineStr">
        <is>
          <t>C9, C10 (differentiation suppressed)</t>
        </is>
      </c>
      <c r="F5" s="3" t="inlineStr">
        <is>
          <t>Real-flight yield per input cell not published.</t>
        </is>
      </c>
    </row>
    <row r="6">
      <c r="A6" s="3" t="inlineStr">
        <is>
          <t>A2</t>
        </is>
      </c>
      <c r="B6" s="3" t="inlineStr">
        <is>
          <t>Purity gain over the best Earth process exceeds 5% (r_q &gt; 1.05)</t>
        </is>
      </c>
      <c r="C6" s="8" t="n">
        <v>0.15</v>
      </c>
      <c r="D6" s="3" t="inlineStr">
        <is>
          <t>C6 (~99% purity, simulated)</t>
        </is>
      </c>
      <c r="E6" s="3" t="inlineStr">
        <is>
          <t>C2, C3 (Earth already ~90%+)</t>
        </is>
      </c>
      <c r="F6" s="3" t="inlineStr">
        <is>
          <t>Math cap: purity cannot exceed 100%.</t>
        </is>
      </c>
    </row>
    <row r="7">
      <c r="A7" s="3" t="inlineStr">
        <is>
          <t>A3</t>
        </is>
      </c>
      <c r="B7" s="3" t="inlineStr">
        <is>
          <t>Microgravity does not impair the directed differentiation step</t>
        </is>
      </c>
      <c r="C7" s="8" t="n">
        <v>0.45</v>
      </c>
      <c r="D7" s="3" t="inlineStr">
        <is>
          <t>C6</t>
        </is>
      </c>
      <c r="E7" s="3" t="inlineStr">
        <is>
          <t>C9, C10</t>
        </is>
      </c>
      <c r="F7" s="3" t="inlineStr">
        <is>
          <t>Thesis needs pluripotency kept AND differentiation to work.</t>
        </is>
      </c>
    </row>
    <row r="8">
      <c r="A8" s="3" t="inlineStr">
        <is>
          <t>A4</t>
        </is>
      </c>
      <c r="B8" s="3" t="inlineStr">
        <is>
          <t>An orbital batch succeeds and is released at least 80% of the time</t>
        </is>
      </c>
      <c r="C8" s="8" t="n">
        <v>0.35</v>
      </c>
      <c r="D8" s="3" t="inlineStr"/>
      <c r="E8" s="3" t="inlineStr">
        <is>
          <t>C13 (radiation/mutation risk)</t>
        </is>
      </c>
      <c r="F8" s="3" t="inlineStr">
        <is>
          <t>No orbital GMP data.</t>
        </is>
      </c>
    </row>
    <row r="9">
      <c r="A9" s="3" t="inlineStr">
        <is>
          <t>A5</t>
        </is>
      </c>
      <c r="B9" s="3" t="inlineStr">
        <is>
          <t>An orbital bioreactor can run an industrial batch (~1e9 input cells) within 5 years</t>
        </is>
      </c>
      <c r="C9" s="8" t="n">
        <v>0.2</v>
      </c>
      <c r="D9" s="3" t="inlineStr"/>
      <c r="E9" s="3" t="inlineStr"/>
      <c r="F9" s="3" t="inlineStr">
        <is>
          <t>Current ISS hardware is far smaller.</t>
        </is>
      </c>
    </row>
    <row r="10">
      <c r="A10" s="3" t="inlineStr">
        <is>
          <t>A6</t>
        </is>
      </c>
      <c r="B10" s="3" t="inlineStr">
        <is>
          <t>Launch to an orbital lab costs &lt;= $20,000/kg for this payload</t>
        </is>
      </c>
      <c r="C10" s="8" t="n">
        <v>0.6</v>
      </c>
      <c r="D10" s="3" t="inlineStr">
        <is>
          <t>S9, S10</t>
        </is>
      </c>
      <c r="E10" s="3" t="inlineStr">
        <is>
          <t>S11</t>
        </is>
      </c>
      <c r="F10" s="3" t="inlineStr">
        <is>
          <t>Depends on provider and NASA policy.</t>
        </is>
      </c>
    </row>
    <row r="11">
      <c r="A11" s="3" t="inlineStr">
        <is>
          <t>A7</t>
        </is>
      </c>
      <c r="B11" s="3" t="inlineStr">
        <is>
          <t>Radiation over a 2-3 week run does not add release-blocking genetic damage</t>
        </is>
      </c>
      <c r="C11" s="8" t="n">
        <v>0.6</v>
      </c>
      <c r="D11" s="3" t="inlineStr"/>
      <c r="E11" s="3" t="inlineStr">
        <is>
          <t>C13 (~5x mutations in HSPC on ISS)</t>
        </is>
      </c>
      <c r="F11" s="3" t="inlineStr">
        <is>
          <t>Release testing would catch some.</t>
        </is>
      </c>
    </row>
    <row r="13">
      <c r="A13" s="3" t="inlineStr">
        <is>
          <t>Product of all P IF independent (they are not; illustration only)</t>
        </is>
      </c>
      <c r="B13" s="31">
        <f>PRODUCT(C5:C11)</f>
        <v/>
      </c>
      <c r="C13" s="5" t="inlineStr"/>
      <c r="D13" s="3" t="inlineStr"/>
    </row>
    <row r="14">
      <c r="A14" s="3" t="inlineStr">
        <is>
          <t>Model-based P(r_g &gt; break-even), from CM_Comparison</t>
        </is>
      </c>
      <c r="B14" s="32">
        <f>CM_Comparison!B23</f>
        <v/>
      </c>
      <c r="C14" s="5" t="inlineStr"/>
      <c r="D14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13" customWidth="1" min="3" max="3"/>
    <col width="8" customWidth="1" min="4" max="4"/>
    <col width="13" customWidth="1" min="5" max="5"/>
    <col width="15" customWidth="1" min="6" max="6"/>
    <col width="13" customWidth="1" min="7" max="7"/>
    <col width="12" customWidth="1" min="8" max="8"/>
    <col width="26" customWidth="1" min="9" max="9"/>
    <col width="12" customWidth="1" min="10" max="10"/>
    <col width="14" customWidth="1" min="11" max="11"/>
    <col width="60" customWidth="1" min="12" max="12"/>
    <col width="45" customWidth="1" min="13" max="13"/>
    <col width="14" customWidth="1" min="14" max="14"/>
    <col width="12" customWidth="1" min="15" max="15"/>
  </cols>
  <sheetData>
    <row r="1">
      <c r="A1" s="4" t="inlineStr">
        <is>
          <t>Blood stem cells: cord-blood CD34+ expansion: assumptions. Point estimate = Most likely. Blue = input, black = formula.</t>
        </is>
      </c>
    </row>
    <row r="2">
      <c r="A2" s="5" t="inlineStr">
        <is>
          <t>Low/High = range found in (or judged from) the evidence. Subjective confidence = author's probability the true value lies in [Low, High]; not used by the model.</t>
        </is>
      </c>
    </row>
    <row r="4">
      <c r="A4" s="6" t="inlineStr">
        <is>
          <t>ID</t>
        </is>
      </c>
      <c r="B4" s="6" t="inlineStr">
        <is>
          <t>Parameter</t>
        </is>
      </c>
      <c r="C4" s="6" t="inlineStr">
        <is>
          <t>Unit</t>
        </is>
      </c>
      <c r="D4" s="6" t="inlineStr">
        <is>
          <t>Side</t>
        </is>
      </c>
      <c r="E4" s="6" t="inlineStr">
        <is>
          <t>Low</t>
        </is>
      </c>
      <c r="F4" s="6" t="inlineStr">
        <is>
          <t>Most likely (point)</t>
        </is>
      </c>
      <c r="G4" s="6" t="inlineStr">
        <is>
          <t>High</t>
        </is>
      </c>
      <c r="H4" s="6" t="inlineStr">
        <is>
          <t>Distribution</t>
        </is>
      </c>
      <c r="I4" s="6" t="inlineStr">
        <is>
          <t>Evidence status</t>
        </is>
      </c>
      <c r="J4" s="6" t="inlineStr">
        <is>
          <t>Evidence strength</t>
        </is>
      </c>
      <c r="K4" s="6" t="inlineStr">
        <is>
          <t>Source IDs</t>
        </is>
      </c>
      <c r="L4" s="6" t="inlineStr">
        <is>
          <t>Basis / derivation</t>
        </is>
      </c>
      <c r="M4" s="6" t="inlineStr">
        <is>
          <t>Limitations</t>
        </is>
      </c>
      <c r="N4" s="6" t="inlineStr">
        <is>
          <t>Subjective confidence range holds</t>
        </is>
      </c>
      <c r="O4" s="6" t="inlineStr">
        <is>
          <t>Used directly by calculator?</t>
        </is>
      </c>
    </row>
    <row r="5">
      <c r="A5" s="3" t="inlineStr">
        <is>
          <t>U</t>
        </is>
      </c>
      <c r="B5" s="3" t="inlineStr">
        <is>
          <t>Cells per reporting unit</t>
        </is>
      </c>
      <c r="C5" s="3" t="inlineStr">
        <is>
          <t>cells/unit</t>
        </is>
      </c>
      <c r="D5" s="3" t="inlineStr">
        <is>
          <t>Both</t>
        </is>
      </c>
      <c r="E5" s="7" t="n">
        <v>1000000</v>
      </c>
      <c r="F5" s="7" t="n">
        <v>1000000</v>
      </c>
      <c r="G5" s="7" t="n">
        <v>1000000</v>
      </c>
      <c r="H5" s="3" t="inlineStr">
        <is>
          <t>fixed</t>
        </is>
      </c>
      <c r="I5" s="3" t="inlineStr">
        <is>
          <t>definition</t>
        </is>
      </c>
      <c r="J5" s="3" t="inlineStr">
        <is>
          <t>n/a</t>
        </is>
      </c>
      <c r="K5" s="3" t="inlineStr"/>
      <c r="L5" s="3" t="inlineStr">
        <is>
          <t>1 unit = 1 million functional HSC-equivalent (CD34+) cells. Not a clinical dose.</t>
        </is>
      </c>
      <c r="M5" s="3" t="inlineStr">
        <is>
          <t>Accounting choice only.</t>
        </is>
      </c>
      <c r="N5" s="8" t="n"/>
      <c r="O5" s="3" t="inlineStr">
        <is>
          <t>yes</t>
        </is>
      </c>
    </row>
    <row r="6">
      <c r="A6" s="3" t="inlineStr">
        <is>
          <t>N0</t>
        </is>
      </c>
      <c r="B6" s="3" t="inlineStr">
        <is>
          <t>Viable starting CD34+ cells per batch (one cord blood unit)</t>
        </is>
      </c>
      <c r="C6" s="3" t="inlineStr">
        <is>
          <t>cells</t>
        </is>
      </c>
      <c r="D6" s="3" t="inlineStr">
        <is>
          <t>Both</t>
        </is>
      </c>
      <c r="E6" s="7" t="n">
        <v>5000000</v>
      </c>
      <c r="F6" s="7" t="n">
        <v>5000000</v>
      </c>
      <c r="G6" s="7" t="n">
        <v>5000000</v>
      </c>
      <c r="H6" s="3" t="inlineStr">
        <is>
          <t>fixed</t>
        </is>
      </c>
      <c r="I6" s="3" t="inlineStr">
        <is>
          <t>measured in target system (derived)</t>
        </is>
      </c>
      <c r="J6" s="3" t="inlineStr">
        <is>
          <t>Strong</t>
        </is>
      </c>
      <c r="K6" s="3" t="inlineStr">
        <is>
          <t>S2</t>
        </is>
      </c>
      <c r="L6" s="3" t="inlineStr">
        <is>
          <t>Derived: ~6.6e8 CD34+ per omidubicel product / 130-fold median expansion = ~5e6 starting CD34+.</t>
        </is>
      </c>
      <c r="M6" s="3" t="inlineStr">
        <is>
          <t>Derived arithmetic from snippet values; cord units vary widely.</t>
        </is>
      </c>
      <c r="N6" s="8" t="n">
        <v>0.6</v>
      </c>
      <c r="O6" s="3" t="inlineStr">
        <is>
          <t>yes</t>
        </is>
      </c>
    </row>
    <row r="7">
      <c r="A7" s="3" t="inlineStr">
        <is>
          <t>g_E</t>
        </is>
      </c>
      <c r="B7" s="3" t="inlineStr">
        <is>
          <t>Earth gross CD34+ expansion factor</t>
        </is>
      </c>
      <c r="C7" s="3" t="inlineStr">
        <is>
          <t>fold</t>
        </is>
      </c>
      <c r="D7" s="3" t="inlineStr">
        <is>
          <t>Earth</t>
        </is>
      </c>
      <c r="E7" s="9" t="n">
        <v>35</v>
      </c>
      <c r="F7" s="9" t="n">
        <v>130</v>
      </c>
      <c r="G7" s="9" t="n">
        <v>330</v>
      </c>
      <c r="H7" s="3" t="inlineStr">
        <is>
          <t>triangular</t>
        </is>
      </c>
      <c r="I7" s="3" t="inlineStr">
        <is>
          <t>measured in target system</t>
        </is>
      </c>
      <c r="J7" s="3" t="inlineStr">
        <is>
          <t>Strong</t>
        </is>
      </c>
      <c r="K7" s="3" t="inlineStr">
        <is>
          <t>S1, S2, S3</t>
        </is>
      </c>
      <c r="L7" s="3" t="inlineStr">
        <is>
          <t>UM171 ~35-fold (low), omidubicel median 130-fold (mode), SR-1 median 330-fold (high).</t>
        </is>
      </c>
      <c r="M7" s="3" t="inlineStr">
        <is>
          <t>Different protocols/products; medians, not long-run means; triangle shape is judgment.</t>
        </is>
      </c>
      <c r="N7" s="8" t="n">
        <v>0.85</v>
      </c>
      <c r="O7" s="3" t="inlineStr">
        <is>
          <t>yes</t>
        </is>
      </c>
    </row>
    <row r="8">
      <c r="A8" s="3" t="inlineStr">
        <is>
          <t>q_E</t>
        </is>
      </c>
      <c r="B8" s="3" t="inlineStr">
        <is>
          <t>Earth fraction of expanded CD34+ meeting functional qualification</t>
        </is>
      </c>
      <c r="C8" s="3" t="inlineStr">
        <is>
          <t>fraction</t>
        </is>
      </c>
      <c r="D8" s="3" t="inlineStr">
        <is>
          <t>Earth</t>
        </is>
      </c>
      <c r="E8" s="10" t="n">
        <v>0.5</v>
      </c>
      <c r="F8" s="11" t="n">
        <v>0.7</v>
      </c>
      <c r="G8" s="10" t="n">
        <v>0.8</v>
      </c>
      <c r="H8" s="3" t="inlineStr">
        <is>
          <t>triangular</t>
        </is>
      </c>
      <c r="I8" s="3" t="inlineStr">
        <is>
          <t>speculative scenario</t>
        </is>
      </c>
      <c r="J8" s="3" t="inlineStr">
        <is>
          <t>Very weak</t>
        </is>
      </c>
      <c r="K8" s="3" t="inlineStr"/>
      <c r="L8" s="3" t="inlineStr">
        <is>
          <t>No post-expansion functional-fraction value was extracted. Placeholder range by author judgment.</t>
        </is>
      </c>
      <c r="M8" s="3" t="inlineStr">
        <is>
          <t>NOT EVIDENCE-BASED. Needs an assay definition.</t>
        </is>
      </c>
      <c r="N8" s="8" t="n">
        <v>0.4</v>
      </c>
      <c r="O8" s="3" t="inlineStr">
        <is>
          <t>yes</t>
        </is>
      </c>
    </row>
    <row r="9">
      <c r="A9" s="3" t="inlineStr">
        <is>
          <t>p_E</t>
        </is>
      </c>
      <c r="B9" s="3" t="inlineStr">
        <is>
          <t>Earth batch release probability</t>
        </is>
      </c>
      <c r="C9" s="3" t="inlineStr">
        <is>
          <t>probability</t>
        </is>
      </c>
      <c r="D9" s="3" t="inlineStr">
        <is>
          <t>Earth</t>
        </is>
      </c>
      <c r="E9" s="10" t="n">
        <v>0.88</v>
      </c>
      <c r="F9" s="10" t="n">
        <v>0.96</v>
      </c>
      <c r="G9" s="10" t="n">
        <v>0.99</v>
      </c>
      <c r="H9" s="3" t="inlineStr">
        <is>
          <t>triangular</t>
        </is>
      </c>
      <c r="I9" s="3" t="inlineStr">
        <is>
          <t>measured in target system</t>
        </is>
      </c>
      <c r="J9" s="3" t="inlineStr">
        <is>
          <t>Strong</t>
        </is>
      </c>
      <c r="K9" s="3" t="inlineStr">
        <is>
          <t>S1, S4, S8</t>
        </is>
      </c>
      <c r="L9" s="3" t="inlineStr">
        <is>
          <t>SR-1: 2/20 failed release (90%); UM171: 26/27 expanded (96%); CAR-T failure ~4% (other system).</t>
        </is>
      </c>
      <c r="M9" s="3" t="inlineStr">
        <is>
          <t>Small samples; failure rates fell as processes matured.</t>
        </is>
      </c>
      <c r="N9" s="8" t="n">
        <v>0.8</v>
      </c>
      <c r="O9" s="3" t="inlineStr">
        <is>
          <t>yes</t>
        </is>
      </c>
    </row>
    <row r="10">
      <c r="A10" s="3" t="inlineStr">
        <is>
          <t>E_cells</t>
        </is>
      </c>
      <c r="B10" s="3" t="inlineStr">
        <is>
          <t>Earth: starting material (cord blood unit)</t>
        </is>
      </c>
      <c r="C10" s="3" t="inlineStr">
        <is>
          <t>USD/batch</t>
        </is>
      </c>
      <c r="D10" s="3" t="inlineStr">
        <is>
          <t>Earth</t>
        </is>
      </c>
      <c r="E10" s="12" t="n">
        <v>30000</v>
      </c>
      <c r="F10" s="12" t="n">
        <v>36000</v>
      </c>
      <c r="G10" s="12" t="n">
        <v>60000</v>
      </c>
      <c r="H10" s="3" t="inlineStr">
        <is>
          <t>triangular</t>
        </is>
      </c>
      <c r="I10" s="3" t="inlineStr">
        <is>
          <t>measured in another system</t>
        </is>
      </c>
      <c r="J10" s="3" t="inlineStr">
        <is>
          <t>Moderate</t>
        </is>
      </c>
      <c r="K10" s="3" t="inlineStr">
        <is>
          <t>S7</t>
        </is>
      </c>
      <c r="L10" s="3" t="inlineStr">
        <is>
          <t>Cord blood unit procurement $30k-$60k+; mode near reported ~$36k mean (vendor snippet).</t>
        </is>
      </c>
      <c r="M10" s="3" t="inlineStr">
        <is>
          <t>Price years vary; no inflation adjustment.</t>
        </is>
      </c>
      <c r="N10" s="8" t="n">
        <v>0.75</v>
      </c>
      <c r="O10" s="3" t="inlineStr">
        <is>
          <t>yes</t>
        </is>
      </c>
    </row>
    <row r="11">
      <c r="A11" s="3" t="inlineStr">
        <is>
          <t>E_consumables</t>
        </is>
      </c>
      <c r="B11" s="3" t="inlineStr">
        <is>
          <t>Earth: media, cytokines, consumables</t>
        </is>
      </c>
      <c r="C11" s="3" t="inlineStr">
        <is>
          <t>USD/batch</t>
        </is>
      </c>
      <c r="D11" s="3" t="inlineStr">
        <is>
          <t>Earth</t>
        </is>
      </c>
      <c r="E11" s="12" t="n">
        <v>0</v>
      </c>
      <c r="F11" s="12" t="n">
        <v>0</v>
      </c>
      <c r="G11" s="12" t="n">
        <v>0</v>
      </c>
      <c r="H11" s="3" t="inlineStr">
        <is>
          <t>fixed</t>
        </is>
      </c>
      <c r="I11" s="3" t="inlineStr">
        <is>
          <t>not extracted (included in COGS line)</t>
        </is>
      </c>
      <c r="J11" s="3" t="inlineStr">
        <is>
          <t>n/a</t>
        </is>
      </c>
      <c r="K11" s="3" t="inlineStr">
        <is>
          <t>S6</t>
        </is>
      </c>
      <c r="L11" s="3" t="inlineStr">
        <is>
          <t>Included in the manufacturing COGS line to avoid double counting; breakdown not extracted.</t>
        </is>
      </c>
      <c r="M11" s="3" t="inlineStr">
        <is>
          <t>Breakdown unavailable.</t>
        </is>
      </c>
      <c r="N11" s="8" t="n"/>
      <c r="O11" s="3" t="inlineStr">
        <is>
          <t>yes</t>
        </is>
      </c>
    </row>
    <row r="12">
      <c r="A12" s="3" t="inlineStr">
        <is>
          <t>E_labor</t>
        </is>
      </c>
      <c r="B12" s="3" t="inlineStr">
        <is>
          <t>Earth: labor</t>
        </is>
      </c>
      <c r="C12" s="3" t="inlineStr">
        <is>
          <t>USD/batch</t>
        </is>
      </c>
      <c r="D12" s="3" t="inlineStr">
        <is>
          <t>Earth</t>
        </is>
      </c>
      <c r="E12" s="12" t="n">
        <v>0</v>
      </c>
      <c r="F12" s="12" t="n">
        <v>0</v>
      </c>
      <c r="G12" s="12" t="n">
        <v>0</v>
      </c>
      <c r="H12" s="3" t="inlineStr">
        <is>
          <t>fixed</t>
        </is>
      </c>
      <c r="I12" s="3" t="inlineStr">
        <is>
          <t>not extracted (included in COGS line)</t>
        </is>
      </c>
      <c r="J12" s="3" t="inlineStr">
        <is>
          <t>n/a</t>
        </is>
      </c>
      <c r="K12" s="3" t="inlineStr">
        <is>
          <t>S6</t>
        </is>
      </c>
      <c r="L12" s="3" t="inlineStr">
        <is>
          <t>Included in the manufacturing COGS line to avoid double counting; breakdown not extracted.</t>
        </is>
      </c>
      <c r="M12" s="3" t="inlineStr">
        <is>
          <t>Breakdown unavailable.</t>
        </is>
      </c>
      <c r="N12" s="8" t="n"/>
      <c r="O12" s="3" t="inlineStr">
        <is>
          <t>yes</t>
        </is>
      </c>
    </row>
    <row r="13">
      <c r="A13" s="3" t="inlineStr">
        <is>
          <t>E_facility</t>
        </is>
      </c>
      <c r="B13" s="3" t="inlineStr">
        <is>
          <t>Earth: GMP facility allocation</t>
        </is>
      </c>
      <c r="C13" s="3" t="inlineStr">
        <is>
          <t>USD/batch</t>
        </is>
      </c>
      <c r="D13" s="3" t="inlineStr">
        <is>
          <t>Earth</t>
        </is>
      </c>
      <c r="E13" s="12" t="n">
        <v>0</v>
      </c>
      <c r="F13" s="12" t="n">
        <v>0</v>
      </c>
      <c r="G13" s="12" t="n">
        <v>0</v>
      </c>
      <c r="H13" s="3" t="inlineStr">
        <is>
          <t>fixed</t>
        </is>
      </c>
      <c r="I13" s="3" t="inlineStr">
        <is>
          <t>not extracted (included in COGS line)</t>
        </is>
      </c>
      <c r="J13" s="3" t="inlineStr">
        <is>
          <t>n/a</t>
        </is>
      </c>
      <c r="K13" s="3" t="inlineStr">
        <is>
          <t>S6</t>
        </is>
      </c>
      <c r="L13" s="3" t="inlineStr">
        <is>
          <t>Included in the manufacturing COGS line to avoid double counting; breakdown not extracted.</t>
        </is>
      </c>
      <c r="M13" s="3" t="inlineStr">
        <is>
          <t>Breakdown unavailable.</t>
        </is>
      </c>
      <c r="N13" s="8" t="n"/>
      <c r="O13" s="3" t="inlineStr">
        <is>
          <t>yes</t>
        </is>
      </c>
    </row>
    <row r="14">
      <c r="A14" s="3" t="inlineStr">
        <is>
          <t>E_equipment</t>
        </is>
      </c>
      <c r="B14" s="3" t="inlineStr">
        <is>
          <t>Earth: equipment allocation</t>
        </is>
      </c>
      <c r="C14" s="3" t="inlineStr">
        <is>
          <t>USD/batch</t>
        </is>
      </c>
      <c r="D14" s="3" t="inlineStr">
        <is>
          <t>Earth</t>
        </is>
      </c>
      <c r="E14" s="12" t="n">
        <v>0</v>
      </c>
      <c r="F14" s="12" t="n">
        <v>0</v>
      </c>
      <c r="G14" s="12" t="n">
        <v>0</v>
      </c>
      <c r="H14" s="3" t="inlineStr">
        <is>
          <t>fixed</t>
        </is>
      </c>
      <c r="I14" s="3" t="inlineStr">
        <is>
          <t>not extracted (included in COGS line)</t>
        </is>
      </c>
      <c r="J14" s="3" t="inlineStr">
        <is>
          <t>n/a</t>
        </is>
      </c>
      <c r="K14" s="3" t="inlineStr">
        <is>
          <t>S6</t>
        </is>
      </c>
      <c r="L14" s="3" t="inlineStr">
        <is>
          <t>Included in the manufacturing COGS line to avoid double counting; breakdown not extracted.</t>
        </is>
      </c>
      <c r="M14" s="3" t="inlineStr">
        <is>
          <t>Breakdown unavailable.</t>
        </is>
      </c>
      <c r="N14" s="8" t="n"/>
      <c r="O14" s="3" t="inlineStr">
        <is>
          <t>yes</t>
        </is>
      </c>
    </row>
    <row r="15">
      <c r="A15" s="3" t="inlineStr">
        <is>
          <t>E_qc</t>
        </is>
      </c>
      <c r="B15" s="3" t="inlineStr">
        <is>
          <t>Earth: quality testing / release</t>
        </is>
      </c>
      <c r="C15" s="3" t="inlineStr">
        <is>
          <t>USD/batch</t>
        </is>
      </c>
      <c r="D15" s="3" t="inlineStr">
        <is>
          <t>Earth</t>
        </is>
      </c>
      <c r="E15" s="12" t="n">
        <v>0</v>
      </c>
      <c r="F15" s="12" t="n">
        <v>0</v>
      </c>
      <c r="G15" s="12" t="n">
        <v>0</v>
      </c>
      <c r="H15" s="3" t="inlineStr">
        <is>
          <t>fixed</t>
        </is>
      </c>
      <c r="I15" s="3" t="inlineStr">
        <is>
          <t>not extracted (included in COGS line)</t>
        </is>
      </c>
      <c r="J15" s="3" t="inlineStr">
        <is>
          <t>n/a</t>
        </is>
      </c>
      <c r="K15" s="3" t="inlineStr">
        <is>
          <t>S6</t>
        </is>
      </c>
      <c r="L15" s="3" t="inlineStr">
        <is>
          <t>Included in the manufacturing COGS line to avoid double counting; breakdown not extracted.</t>
        </is>
      </c>
      <c r="M15" s="3" t="inlineStr">
        <is>
          <t>Breakdown unavailable.</t>
        </is>
      </c>
      <c r="N15" s="8" t="n"/>
      <c r="O15" s="3" t="inlineStr">
        <is>
          <t>yes</t>
        </is>
      </c>
    </row>
    <row r="16">
      <c r="A16" s="3" t="inlineStr">
        <is>
          <t>E_other</t>
        </is>
      </c>
      <c r="B16" s="3" t="inlineStr">
        <is>
          <t>Earth: expansion manufacturing COGS excl. starting material (labor, facility, QC, consumables)</t>
        </is>
      </c>
      <c r="C16" s="3" t="inlineStr">
        <is>
          <t>USD/batch</t>
        </is>
      </c>
      <c r="D16" s="3" t="inlineStr">
        <is>
          <t>Earth</t>
        </is>
      </c>
      <c r="E16" s="12" t="n">
        <v>40000</v>
      </c>
      <c r="F16" s="12" t="n">
        <v>100000</v>
      </c>
      <c r="G16" s="12" t="n">
        <v>220000</v>
      </c>
      <c r="H16" s="3" t="inlineStr">
        <is>
          <t>triangular</t>
        </is>
      </c>
      <c r="I16" s="3" t="inlineStr">
        <is>
          <t>measured in another system</t>
        </is>
      </c>
      <c r="J16" s="3" t="inlineStr">
        <is>
          <t>Moderate</t>
        </is>
      </c>
      <c r="K16" s="3" t="inlineStr">
        <is>
          <t>S5, S6</t>
        </is>
      </c>
      <c r="L16" s="3" t="inlineStr">
        <is>
          <t>Autologous CAR-T COGS ~$96k/dose (S5); reviews cite $170k-220k per batch, projected to fall to $40k-70k.</t>
        </is>
      </c>
      <c r="M16" s="3" t="inlineStr">
        <is>
          <t>CAR-T, not HSC expansion; 2019 USD.</t>
        </is>
      </c>
      <c r="N16" s="8" t="n">
        <v>0.6</v>
      </c>
      <c r="O16" s="3" t="inlineStr">
        <is>
          <t>yes</t>
        </is>
      </c>
    </row>
    <row r="17">
      <c r="A17" s="3" t="inlineStr">
        <is>
          <t>E_delivery</t>
        </is>
      </c>
      <c r="B17" s="3" t="inlineStr">
        <is>
          <t>Earth: delivery cost</t>
        </is>
      </c>
      <c r="C17" s="3" t="inlineStr">
        <is>
          <t>USD/batch</t>
        </is>
      </c>
      <c r="D17" s="3" t="inlineStr">
        <is>
          <t>Earth</t>
        </is>
      </c>
      <c r="E17" s="12" t="n">
        <v>0</v>
      </c>
      <c r="F17" s="12" t="n">
        <v>0</v>
      </c>
      <c r="G17" s="12" t="n">
        <v>0</v>
      </c>
      <c r="H17" s="3" t="inlineStr">
        <is>
          <t>fixed</t>
        </is>
      </c>
      <c r="I17" s="3" t="inlineStr">
        <is>
          <t>not extracted</t>
        </is>
      </c>
      <c r="J17" s="3" t="inlineStr">
        <is>
          <t>n/a</t>
        </is>
      </c>
      <c r="K17" s="3" t="inlineStr"/>
      <c r="L17" s="3" t="inlineStr">
        <is>
          <t>Not modeled (courier cost small relative to COGS). Earth shipping losses also not modeled.</t>
        </is>
      </c>
      <c r="M17" s="3" t="inlineStr">
        <is>
          <t>Slightly favors Earth.</t>
        </is>
      </c>
      <c r="N17" s="8" t="n"/>
      <c r="O17" s="3" t="inlineStr">
        <is>
          <t>yes</t>
        </is>
      </c>
    </row>
    <row r="18">
      <c r="A18" s="3" t="inlineStr">
        <is>
          <t>r_g</t>
        </is>
      </c>
      <c r="B18" s="3" t="inlineStr">
        <is>
          <t>Space/Earth gross expansion ratio</t>
        </is>
      </c>
      <c r="C18" s="3" t="inlineStr">
        <is>
          <t>ratio</t>
        </is>
      </c>
      <c r="D18" s="3" t="inlineStr">
        <is>
          <t>Space</t>
        </is>
      </c>
      <c r="E18" s="9" t="n">
        <v>0.3</v>
      </c>
      <c r="F18" s="13" t="n">
        <v>1</v>
      </c>
      <c r="G18" s="9" t="n">
        <v>2.7</v>
      </c>
      <c r="H18" s="3" t="inlineStr">
        <is>
          <t>triangular</t>
        </is>
      </c>
      <c r="I18" s="3" t="inlineStr">
        <is>
          <t>measured in another system</t>
        </is>
      </c>
      <c r="J18" s="3" t="inlineStr">
        <is>
          <t>Moderate</t>
        </is>
      </c>
      <c r="K18" s="3" t="inlineStr">
        <is>
          <t>S12, S13, S14, S16</t>
        </is>
      </c>
      <c r="L18" s="3" t="inlineStr">
        <is>
          <t>Low ~0.33 (sim-microgravity human BM CD34+, no growth vs 3-fold); high ~2.7 (sim-microgravity total cells 11 vs 4.1-fold); mode 1.0 (early ISS HSC work reported comparable growth). Mouse spaceflight shows decreases.</t>
        </is>
      </c>
      <c r="M18" s="3" t="inlineStr">
        <is>
          <t>No human cord-blood CD34+ expansion measured in real microgravity under manufacturing conditions.</t>
        </is>
      </c>
      <c r="N18" s="8" t="n">
        <v>0.5</v>
      </c>
      <c r="O18" s="3" t="inlineStr">
        <is>
          <t>yes</t>
        </is>
      </c>
    </row>
    <row r="19">
      <c r="A19" s="3" t="inlineStr">
        <is>
          <t>r_q</t>
        </is>
      </c>
      <c r="B19" s="3" t="inlineStr">
        <is>
          <t>Space/Earth qualification-fraction ratio</t>
        </is>
      </c>
      <c r="C19" s="3" t="inlineStr">
        <is>
          <t>ratio</t>
        </is>
      </c>
      <c r="D19" s="3" t="inlineStr">
        <is>
          <t>Space</t>
        </is>
      </c>
      <c r="E19" s="9" t="n">
        <v>0.15</v>
      </c>
      <c r="F19" s="13" t="n">
        <v>1</v>
      </c>
      <c r="G19" s="9" t="n">
        <v>1.25</v>
      </c>
      <c r="H19" s="3" t="inlineStr">
        <is>
          <t>triangular</t>
        </is>
      </c>
      <c r="I19" s="3" t="inlineStr">
        <is>
          <t>measured in another system</t>
        </is>
      </c>
      <c r="J19" s="3" t="inlineStr">
        <is>
          <t>Moderate</t>
        </is>
      </c>
      <c r="K19" s="3" t="inlineStr">
        <is>
          <t>S14, C13</t>
        </is>
      </c>
      <c r="L19" s="3" t="inlineStr">
        <is>
          <t>Low ~0.14 (NOD/SCID repopulation 2.1 vs 14.8 after simulated microgravity); ISS HSPC aging signatures (C13); high 1.25 speculative.</t>
        </is>
      </c>
      <c r="M19" s="3" t="inlineStr">
        <is>
          <t>Upper bound speculative. max(q_E) x max(r_q) = 1.0 keeps q_S &lt;= 1.</t>
        </is>
      </c>
      <c r="N19" s="8" t="n">
        <v>0.5</v>
      </c>
      <c r="O19" s="3" t="inlineStr">
        <is>
          <t>yes</t>
        </is>
      </c>
    </row>
    <row r="20">
      <c r="A20" s="3" t="inlineStr">
        <is>
          <t>s</t>
        </is>
      </c>
      <c r="B20" s="3" t="inlineStr">
        <is>
          <t>Post-return retention of qualified space output</t>
        </is>
      </c>
      <c r="C20" s="3" t="inlineStr">
        <is>
          <t>fraction</t>
        </is>
      </c>
      <c r="D20" s="3" t="inlineStr">
        <is>
          <t>Space</t>
        </is>
      </c>
      <c r="E20" s="10" t="n">
        <v>0.5</v>
      </c>
      <c r="F20" s="11" t="n">
        <v>0.75</v>
      </c>
      <c r="G20" s="10" t="n">
        <v>0.97</v>
      </c>
      <c r="H20" s="3" t="inlineStr">
        <is>
          <t>triangular</t>
        </is>
      </c>
      <c r="I20" s="3" t="inlineStr">
        <is>
          <t>measured in another system</t>
        </is>
      </c>
      <c r="J20" s="3" t="inlineStr">
        <is>
          <t>Moderate</t>
        </is>
      </c>
      <c r="K20" s="3" t="inlineStr">
        <is>
          <t>S17, S18</t>
        </is>
      </c>
      <c r="L20" s="3" t="inlineStr">
        <is>
          <t>Post-thaw CD34+ recovery: ~98% (S17) down to ~68-74% (S18); low 0.5 allows for re-entry stress.</t>
        </is>
      </c>
      <c r="M20" s="3" t="inlineStr">
        <is>
          <t>Earth product cryo/shipping losses not modeled, which favors Earth.</t>
        </is>
      </c>
      <c r="N20" s="8" t="n">
        <v>0.6</v>
      </c>
      <c r="O20" s="3" t="inlineStr">
        <is>
          <t>yes</t>
        </is>
      </c>
    </row>
    <row r="21">
      <c r="A21" s="3" t="inlineStr">
        <is>
          <t>p_S</t>
        </is>
      </c>
      <c r="B21" s="3" t="inlineStr">
        <is>
          <t>Space batch release probability</t>
        </is>
      </c>
      <c r="C21" s="3" t="inlineStr">
        <is>
          <t>probability</t>
        </is>
      </c>
      <c r="D21" s="3" t="inlineStr">
        <is>
          <t>Space</t>
        </is>
      </c>
      <c r="E21" s="10" t="n">
        <v>0.6</v>
      </c>
      <c r="F21" s="11" t="n">
        <v>0.85</v>
      </c>
      <c r="G21" s="10" t="n">
        <v>0.96</v>
      </c>
      <c r="H21" s="3" t="inlineStr">
        <is>
          <t>triangular</t>
        </is>
      </c>
      <c r="I21" s="3" t="inlineStr">
        <is>
          <t>expert judgment</t>
        </is>
      </c>
      <c r="J21" s="3" t="inlineStr">
        <is>
          <t>Very weak</t>
        </is>
      </c>
      <c r="K21" s="3" t="inlineStr"/>
      <c r="L21" s="3" t="inlineStr">
        <is>
          <t>No orbital GMP batch data. Includes launch scrubs, hardware faults, contamination, return delays. Author judgment.</t>
        </is>
      </c>
      <c r="M21" s="3" t="inlineStr">
        <is>
          <t>SPECULATIVE.</t>
        </is>
      </c>
      <c r="N21" s="8" t="n">
        <v>0.4</v>
      </c>
      <c r="O21" s="3" t="inlineStr">
        <is>
          <t>yes</t>
        </is>
      </c>
    </row>
    <row r="22">
      <c r="A22" s="3" t="inlineStr">
        <is>
          <t>S_cells</t>
        </is>
      </c>
      <c r="B22" s="3" t="inlineStr">
        <is>
          <t>Space: starting material (cord blood unit)</t>
        </is>
      </c>
      <c r="C22" s="3" t="inlineStr">
        <is>
          <t>USD/batch</t>
        </is>
      </c>
      <c r="D22" s="3" t="inlineStr">
        <is>
          <t>Space</t>
        </is>
      </c>
      <c r="E22" s="12" t="n">
        <v>30000</v>
      </c>
      <c r="F22" s="12" t="n">
        <v>36000</v>
      </c>
      <c r="G22" s="12" t="n">
        <v>60000</v>
      </c>
      <c r="H22" s="3" t="inlineStr">
        <is>
          <t>triangular</t>
        </is>
      </c>
      <c r="I22" s="3" t="inlineStr">
        <is>
          <t>measured in another system</t>
        </is>
      </c>
      <c r="J22" s="3" t="inlineStr">
        <is>
          <t>Moderate</t>
        </is>
      </c>
      <c r="K22" s="3" t="inlineStr">
        <is>
          <t>S7</t>
        </is>
      </c>
      <c r="L22" s="3" t="inlineStr">
        <is>
          <t>Same as Earth.</t>
        </is>
      </c>
      <c r="M22" s="3" t="inlineStr">
        <is>
          <t>Sampled independently of Earth.</t>
        </is>
      </c>
      <c r="N22" s="8" t="n">
        <v>0.75</v>
      </c>
      <c r="O22" s="3" t="inlineStr">
        <is>
          <t>yes</t>
        </is>
      </c>
    </row>
    <row r="23">
      <c r="A23" s="3" t="inlineStr">
        <is>
          <t>S_consumables</t>
        </is>
      </c>
      <c r="B23" s="3" t="inlineStr">
        <is>
          <t>Space: media, cytokines, consumables</t>
        </is>
      </c>
      <c r="C23" s="3" t="inlineStr">
        <is>
          <t>USD/batch</t>
        </is>
      </c>
      <c r="D23" s="3" t="inlineStr">
        <is>
          <t>Space</t>
        </is>
      </c>
      <c r="E23" s="12" t="n">
        <v>0</v>
      </c>
      <c r="F23" s="12" t="n">
        <v>0</v>
      </c>
      <c r="G23" s="12" t="n">
        <v>0</v>
      </c>
      <c r="H23" s="3" t="inlineStr">
        <is>
          <t>fixed</t>
        </is>
      </c>
      <c r="I23" s="3" t="inlineStr">
        <is>
          <t>not extracted (included in ground COGS line)</t>
        </is>
      </c>
      <c r="J23" s="3" t="inlineStr">
        <is>
          <t>n/a</t>
        </is>
      </c>
      <c r="K23" s="3" t="inlineStr"/>
      <c r="L23" s="3" t="inlineStr">
        <is>
          <t>Included in ground COGS line.</t>
        </is>
      </c>
      <c r="M23" s="3" t="inlineStr"/>
      <c r="N23" s="8" t="n"/>
      <c r="O23" s="3" t="inlineStr">
        <is>
          <t>yes</t>
        </is>
      </c>
    </row>
    <row r="24">
      <c r="A24" s="3" t="inlineStr">
        <is>
          <t>crew_hours</t>
        </is>
      </c>
      <c r="B24" s="3" t="inlineStr">
        <is>
          <t>Space: crew time per batch</t>
        </is>
      </c>
      <c r="C24" s="3" t="inlineStr">
        <is>
          <t>hours/batch</t>
        </is>
      </c>
      <c r="D24" s="3" t="inlineStr">
        <is>
          <t>Space</t>
        </is>
      </c>
      <c r="E24" s="9" t="n">
        <v>0.5</v>
      </c>
      <c r="F24" s="9" t="n">
        <v>2</v>
      </c>
      <c r="G24" s="9" t="n">
        <v>8</v>
      </c>
      <c r="H24" s="3" t="inlineStr">
        <is>
          <t>triangular</t>
        </is>
      </c>
      <c r="I24" s="3" t="inlineStr">
        <is>
          <t>engineering estimate</t>
        </is>
      </c>
      <c r="J24" s="3" t="inlineStr">
        <is>
          <t>Weak</t>
        </is>
      </c>
      <c r="K24" s="3" t="inlineStr"/>
      <c r="L24" s="3" t="inlineStr">
        <is>
          <t>Automated bioreactor payload; crew handles install, sampling and cold-stow transfer. Author estimate.</t>
        </is>
      </c>
      <c r="M24" s="3" t="inlineStr">
        <is>
          <t>SPECULATIVE.</t>
        </is>
      </c>
      <c r="N24" s="8" t="n">
        <v>0.5</v>
      </c>
      <c r="O24" s="3" t="inlineStr">
        <is>
          <t>via derived row</t>
        </is>
      </c>
    </row>
    <row r="25">
      <c r="A25" s="3" t="inlineStr">
        <is>
          <t>crew_rate</t>
        </is>
      </c>
      <c r="B25" s="3" t="inlineStr">
        <is>
          <t>Space: ISS crew time price</t>
        </is>
      </c>
      <c r="C25" s="3" t="inlineStr">
        <is>
          <t>USD/hour</t>
        </is>
      </c>
      <c r="D25" s="3" t="inlineStr">
        <is>
          <t>Space</t>
        </is>
      </c>
      <c r="E25" s="12" t="n">
        <v>130000</v>
      </c>
      <c r="F25" s="12" t="n">
        <v>130000</v>
      </c>
      <c r="G25" s="12" t="n">
        <v>130000</v>
      </c>
      <c r="H25" s="3" t="inlineStr">
        <is>
          <t>fixed</t>
        </is>
      </c>
      <c r="I25" s="3" t="inlineStr">
        <is>
          <t>measured in target system (price)</t>
        </is>
      </c>
      <c r="J25" s="3" t="inlineStr">
        <is>
          <t>Strong</t>
        </is>
      </c>
      <c r="K25" s="3" t="inlineStr">
        <is>
          <t>S9</t>
        </is>
      </c>
      <c r="L25" s="3" t="inlineStr">
        <is>
          <t>NASA 2021 full-value commercial pricing.</t>
        </is>
      </c>
      <c r="M25" s="3" t="inlineStr">
        <is>
          <t>Policy price.</t>
        </is>
      </c>
      <c r="N25" s="8" t="n">
        <v>0.8</v>
      </c>
      <c r="O25" s="3" t="inlineStr">
        <is>
          <t>via derived row</t>
        </is>
      </c>
    </row>
    <row r="26">
      <c r="A26" s="3" t="inlineStr">
        <is>
          <t>S_labor</t>
        </is>
      </c>
      <c r="B26" s="3" t="inlineStr">
        <is>
          <t>Space: operations / crew time</t>
        </is>
      </c>
      <c r="C26" s="3" t="inlineStr">
        <is>
          <t>USD/batch</t>
        </is>
      </c>
      <c r="D26" s="3" t="inlineStr">
        <is>
          <t>Space</t>
        </is>
      </c>
      <c r="E26" s="33">
        <f>E24*E25</f>
        <v/>
      </c>
      <c r="F26" s="33">
        <f>F24*F25</f>
        <v/>
      </c>
      <c r="G26" s="33">
        <f>G24*G25</f>
        <v/>
      </c>
      <c r="H26" s="3" t="inlineStr">
        <is>
          <t>triangular</t>
        </is>
      </c>
      <c r="I26" s="3" t="inlineStr">
        <is>
          <t>engineering estimate (derived)</t>
        </is>
      </c>
      <c r="J26" s="3" t="inlineStr">
        <is>
          <t>Weak</t>
        </is>
      </c>
      <c r="K26" s="3" t="inlineStr">
        <is>
          <t>S9</t>
        </is>
      </c>
      <c r="L26" s="3">
        <f> crew hours x crew price.</f>
        <v/>
      </c>
      <c r="M26" s="3" t="inlineStr"/>
      <c r="N26" s="8" t="n"/>
      <c r="O26" s="3" t="inlineStr">
        <is>
          <t>yes</t>
        </is>
      </c>
    </row>
    <row r="27">
      <c r="A27" s="3" t="inlineStr">
        <is>
          <t>S_facility</t>
        </is>
      </c>
      <c r="B27" s="3" t="inlineStr">
        <is>
          <t>Space: orbital facility / implementation-partner allocation</t>
        </is>
      </c>
      <c r="C27" s="3" t="inlineStr">
        <is>
          <t>USD/batch</t>
        </is>
      </c>
      <c r="D27" s="3" t="inlineStr">
        <is>
          <t>Space</t>
        </is>
      </c>
      <c r="E27" s="12" t="n">
        <v>50000</v>
      </c>
      <c r="F27" s="12" t="n">
        <v>150000</v>
      </c>
      <c r="G27" s="12" t="n">
        <v>500000</v>
      </c>
      <c r="H27" s="3" t="inlineStr">
        <is>
          <t>triangular</t>
        </is>
      </c>
      <c r="I27" s="3" t="inlineStr">
        <is>
          <t>speculative scenario</t>
        </is>
      </c>
      <c r="J27" s="3" t="inlineStr">
        <is>
          <t>Very weak</t>
        </is>
      </c>
      <c r="K27" s="3" t="inlineStr"/>
      <c r="L27" s="3" t="inlineStr">
        <is>
          <t>No public per-batch price. Author placeholder.</t>
        </is>
      </c>
      <c r="M27" s="3" t="inlineStr">
        <is>
          <t>SPECULATIVE.</t>
        </is>
      </c>
      <c r="N27" s="8" t="n">
        <v>0.3</v>
      </c>
      <c r="O27" s="3" t="inlineStr">
        <is>
          <t>yes</t>
        </is>
      </c>
    </row>
    <row r="28">
      <c r="A28" s="3" t="inlineStr">
        <is>
          <t>S_equipment</t>
        </is>
      </c>
      <c r="B28" s="3" t="inlineStr">
        <is>
          <t>Space: flight hardware allocation</t>
        </is>
      </c>
      <c r="C28" s="3" t="inlineStr">
        <is>
          <t>USD/batch</t>
        </is>
      </c>
      <c r="D28" s="3" t="inlineStr">
        <is>
          <t>Space</t>
        </is>
      </c>
      <c r="E28" s="12" t="n">
        <v>20000</v>
      </c>
      <c r="F28" s="12" t="n">
        <v>75000</v>
      </c>
      <c r="G28" s="12" t="n">
        <v>250000</v>
      </c>
      <c r="H28" s="3" t="inlineStr">
        <is>
          <t>triangular</t>
        </is>
      </c>
      <c r="I28" s="3" t="inlineStr">
        <is>
          <t>speculative scenario</t>
        </is>
      </c>
      <c r="J28" s="3" t="inlineStr">
        <is>
          <t>Very weak</t>
        </is>
      </c>
      <c r="K28" s="3" t="inlineStr"/>
      <c r="L28" s="3" t="inlineStr">
        <is>
          <t>Flight-qualified bioreactor amortized over expected batches. Author placeholder.</t>
        </is>
      </c>
      <c r="M28" s="3" t="inlineStr">
        <is>
          <t>SPECULATIVE.</t>
        </is>
      </c>
      <c r="N28" s="8" t="n">
        <v>0.3</v>
      </c>
      <c r="O28" s="3" t="inlineStr">
        <is>
          <t>yes</t>
        </is>
      </c>
    </row>
    <row r="29">
      <c r="A29" s="3" t="inlineStr">
        <is>
          <t>S_qc</t>
        </is>
      </c>
      <c r="B29" s="3" t="inlineStr">
        <is>
          <t>Space: quality testing / release</t>
        </is>
      </c>
      <c r="C29" s="3" t="inlineStr">
        <is>
          <t>USD/batch</t>
        </is>
      </c>
      <c r="D29" s="3" t="inlineStr">
        <is>
          <t>Space</t>
        </is>
      </c>
      <c r="E29" s="12" t="n">
        <v>0</v>
      </c>
      <c r="F29" s="12" t="n">
        <v>0</v>
      </c>
      <c r="G29" s="12" t="n">
        <v>0</v>
      </c>
      <c r="H29" s="3" t="inlineStr">
        <is>
          <t>fixed</t>
        </is>
      </c>
      <c r="I29" s="3" t="inlineStr">
        <is>
          <t>not extracted (included in ground COGS line)</t>
        </is>
      </c>
      <c r="J29" s="3" t="inlineStr">
        <is>
          <t>n/a</t>
        </is>
      </c>
      <c r="K29" s="3" t="inlineStr"/>
      <c r="L29" s="3" t="inlineStr">
        <is>
          <t>Included in ground COGS line.</t>
        </is>
      </c>
      <c r="M29" s="3" t="inlineStr"/>
      <c r="N29" s="8" t="n"/>
      <c r="O29" s="3" t="inlineStr">
        <is>
          <t>yes</t>
        </is>
      </c>
    </row>
    <row r="30">
      <c r="A30" s="3" t="inlineStr">
        <is>
          <t>S_other</t>
        </is>
      </c>
      <c r="B30" s="3" t="inlineStr">
        <is>
          <t>Space: ground GMP processing COGS (pre-flight prep, post-return QC)</t>
        </is>
      </c>
      <c r="C30" s="3" t="inlineStr">
        <is>
          <t>USD/batch</t>
        </is>
      </c>
      <c r="D30" s="3" t="inlineStr">
        <is>
          <t>Space</t>
        </is>
      </c>
      <c r="E30" s="12" t="n">
        <v>40000</v>
      </c>
      <c r="F30" s="12" t="n">
        <v>100000</v>
      </c>
      <c r="G30" s="12" t="n">
        <v>220000</v>
      </c>
      <c r="H30" s="3" t="inlineStr">
        <is>
          <t>triangular</t>
        </is>
      </c>
      <c r="I30" s="3" t="inlineStr">
        <is>
          <t>measured in another system</t>
        </is>
      </c>
      <c r="J30" s="3" t="inlineStr">
        <is>
          <t>Moderate</t>
        </is>
      </c>
      <c r="K30" s="3" t="inlineStr">
        <is>
          <t>S5, S6</t>
        </is>
      </c>
      <c r="L30" s="3" t="inlineStr">
        <is>
          <t>Assumed equal to Earth COGS range.</t>
        </is>
      </c>
      <c r="M30" s="3" t="inlineStr">
        <is>
          <t>Sampled independently of Earth COGS.</t>
        </is>
      </c>
      <c r="N30" s="8" t="n">
        <v>0.5</v>
      </c>
      <c r="O30" s="3" t="inlineStr">
        <is>
          <t>yes</t>
        </is>
      </c>
    </row>
    <row r="31">
      <c r="A31" s="3" t="inlineStr">
        <is>
          <t>L</t>
        </is>
      </c>
      <c r="B31" s="3" t="inlineStr">
        <is>
          <t>Launch price to LEO station</t>
        </is>
      </c>
      <c r="C31" s="3" t="inlineStr">
        <is>
          <t>USD/kg</t>
        </is>
      </c>
      <c r="D31" s="3" t="inlineStr">
        <is>
          <t>Space</t>
        </is>
      </c>
      <c r="E31" s="12" t="n">
        <v>6500</v>
      </c>
      <c r="F31" s="14" t="n">
        <v>20000</v>
      </c>
      <c r="G31" s="12" t="n">
        <v>71800</v>
      </c>
      <c r="H31" s="3" t="inlineStr">
        <is>
          <t>triangular</t>
        </is>
      </c>
      <c r="I31" s="3" t="inlineStr">
        <is>
          <t>measured in target system (price)</t>
        </is>
      </c>
      <c r="J31" s="3" t="inlineStr">
        <is>
          <t>Strong</t>
        </is>
      </c>
      <c r="K31" s="3" t="inlineStr">
        <is>
          <t>S9, S10, S11</t>
        </is>
      </c>
      <c r="L31" s="3" t="inlineStr">
        <is>
          <t>Low: rideshare $6,500/kg; mode: NASA ISS upmass $20,000/kg; high: CRS-2 ~$71,800/kg.</t>
        </is>
      </c>
      <c r="M31" s="3" t="inlineStr">
        <is>
          <t>Prices, not costs.</t>
        </is>
      </c>
      <c r="N31" s="8" t="n">
        <v>0.75</v>
      </c>
      <c r="O31" s="3" t="inlineStr">
        <is>
          <t>yes</t>
        </is>
      </c>
    </row>
    <row r="32">
      <c r="A32" s="3" t="inlineStr">
        <is>
          <t>M</t>
        </is>
      </c>
      <c r="B32" s="3" t="inlineStr">
        <is>
          <t>Allocated launched mass per batch</t>
        </is>
      </c>
      <c r="C32" s="3" t="inlineStr">
        <is>
          <t>kg/batch</t>
        </is>
      </c>
      <c r="D32" s="3" t="inlineStr">
        <is>
          <t>Space</t>
        </is>
      </c>
      <c r="E32" s="9" t="n">
        <v>5</v>
      </c>
      <c r="F32" s="9" t="n">
        <v>15</v>
      </c>
      <c r="G32" s="9" t="n">
        <v>40</v>
      </c>
      <c r="H32" s="3" t="inlineStr">
        <is>
          <t>triangular</t>
        </is>
      </c>
      <c r="I32" s="3" t="inlineStr">
        <is>
          <t>engineering estimate</t>
        </is>
      </c>
      <c r="J32" s="3" t="inlineStr">
        <is>
          <t>Weak</t>
        </is>
      </c>
      <c r="K32" s="3" t="inlineStr"/>
      <c r="L32" s="3" t="inlineStr">
        <is>
          <t>CubeLab-scale bioreactor share + media + cold-chain packaging. Author estimate.</t>
        </is>
      </c>
      <c r="M32" s="3" t="inlineStr">
        <is>
          <t>SPECULATIVE.</t>
        </is>
      </c>
      <c r="N32" s="8" t="n">
        <v>0.5</v>
      </c>
      <c r="O32" s="3" t="inlineStr">
        <is>
          <t>yes</t>
        </is>
      </c>
    </row>
    <row r="33">
      <c r="A33" s="3" t="inlineStr">
        <is>
          <t>ret_mass</t>
        </is>
      </c>
      <c r="B33" s="3" t="inlineStr">
        <is>
          <t>Return (downmass) per batch incl. cold-stowage</t>
        </is>
      </c>
      <c r="C33" s="3" t="inlineStr">
        <is>
          <t>kg/batch</t>
        </is>
      </c>
      <c r="D33" s="3" t="inlineStr">
        <is>
          <t>Space</t>
        </is>
      </c>
      <c r="E33" s="9" t="n">
        <v>2</v>
      </c>
      <c r="F33" s="9" t="n">
        <v>5</v>
      </c>
      <c r="G33" s="9" t="n">
        <v>15</v>
      </c>
      <c r="H33" s="3" t="inlineStr">
        <is>
          <t>triangular</t>
        </is>
      </c>
      <c r="I33" s="3" t="inlineStr">
        <is>
          <t>engineering estimate</t>
        </is>
      </c>
      <c r="J33" s="3" t="inlineStr">
        <is>
          <t>Weak</t>
        </is>
      </c>
      <c r="K33" s="3" t="inlineStr"/>
      <c r="L33" s="3" t="inlineStr">
        <is>
          <t>Cryo/cold-stowage container for one batch. Author estimate.</t>
        </is>
      </c>
      <c r="M33" s="3" t="inlineStr">
        <is>
          <t>SPECULATIVE.</t>
        </is>
      </c>
      <c r="N33" s="8" t="n">
        <v>0.5</v>
      </c>
      <c r="O33" s="3" t="inlineStr">
        <is>
          <t>via derived row</t>
        </is>
      </c>
    </row>
    <row r="34">
      <c r="A34" s="3" t="inlineStr">
        <is>
          <t>down_rate</t>
        </is>
      </c>
      <c r="B34" s="3" t="inlineStr">
        <is>
          <t>Downmass price</t>
        </is>
      </c>
      <c r="C34" s="3" t="inlineStr">
        <is>
          <t>USD/kg</t>
        </is>
      </c>
      <c r="D34" s="3" t="inlineStr">
        <is>
          <t>Space</t>
        </is>
      </c>
      <c r="E34" s="12" t="n">
        <v>40000</v>
      </c>
      <c r="F34" s="12" t="n">
        <v>40000</v>
      </c>
      <c r="G34" s="12" t="n">
        <v>40000</v>
      </c>
      <c r="H34" s="3" t="inlineStr">
        <is>
          <t>fixed</t>
        </is>
      </c>
      <c r="I34" s="3" t="inlineStr">
        <is>
          <t>measured in target system (price)</t>
        </is>
      </c>
      <c r="J34" s="3" t="inlineStr">
        <is>
          <t>Strong</t>
        </is>
      </c>
      <c r="K34" s="3" t="inlineStr">
        <is>
          <t>S9</t>
        </is>
      </c>
      <c r="L34" s="3" t="inlineStr">
        <is>
          <t>NASA 2021 full-value downmass price.</t>
        </is>
      </c>
      <c r="M34" s="3" t="inlineStr">
        <is>
          <t>Policy price.</t>
        </is>
      </c>
      <c r="N34" s="8" t="n">
        <v>0.8</v>
      </c>
      <c r="O34" s="3" t="inlineStr">
        <is>
          <t>via derived row</t>
        </is>
      </c>
    </row>
    <row r="35">
      <c r="A35" s="3" t="inlineStr">
        <is>
          <t>C_return</t>
        </is>
      </c>
      <c r="B35" s="3" t="inlineStr">
        <is>
          <t>Return and recovery cost</t>
        </is>
      </c>
      <c r="C35" s="3" t="inlineStr">
        <is>
          <t>USD/batch</t>
        </is>
      </c>
      <c r="D35" s="3" t="inlineStr">
        <is>
          <t>Space</t>
        </is>
      </c>
      <c r="E35" s="33">
        <f>E33*E34</f>
        <v/>
      </c>
      <c r="F35" s="33">
        <f>F33*F34</f>
        <v/>
      </c>
      <c r="G35" s="33">
        <f>G33*G34</f>
        <v/>
      </c>
      <c r="H35" s="3" t="inlineStr">
        <is>
          <t>triangular</t>
        </is>
      </c>
      <c r="I35" s="3" t="inlineStr">
        <is>
          <t>engineering estimate (derived)</t>
        </is>
      </c>
      <c r="J35" s="3" t="inlineStr">
        <is>
          <t>Weak</t>
        </is>
      </c>
      <c r="K35" s="3" t="inlineStr">
        <is>
          <t>S9</t>
        </is>
      </c>
      <c r="L35" s="3">
        <f> return mass x downmass price.</f>
        <v/>
      </c>
      <c r="M35" s="3" t="inlineStr"/>
      <c r="N35" s="8" t="n"/>
      <c r="O35" s="3" t="inlineStr">
        <is>
          <t>yes</t>
        </is>
      </c>
    </row>
    <row r="36">
      <c r="A36" s="3" t="inlineStr">
        <is>
          <t>C_other_del</t>
        </is>
      </c>
      <c r="B36" s="3" t="inlineStr">
        <is>
          <t>Other space delivery cost</t>
        </is>
      </c>
      <c r="C36" s="3" t="inlineStr">
        <is>
          <t>USD/batch</t>
        </is>
      </c>
      <c r="D36" s="3" t="inlineStr">
        <is>
          <t>Space</t>
        </is>
      </c>
      <c r="E36" s="12" t="n">
        <v>0</v>
      </c>
      <c r="F36" s="12" t="n">
        <v>0</v>
      </c>
      <c r="G36" s="12" t="n">
        <v>0</v>
      </c>
      <c r="H36" s="3" t="inlineStr">
        <is>
          <t>fixed</t>
        </is>
      </c>
      <c r="I36" s="3" t="inlineStr">
        <is>
          <t>not extracted</t>
        </is>
      </c>
      <c r="J36" s="3" t="inlineStr">
        <is>
          <t>n/a</t>
        </is>
      </c>
      <c r="K36" s="3" t="inlineStr"/>
      <c r="L36" s="3" t="inlineStr">
        <is>
          <t>Not modeled separately.</t>
        </is>
      </c>
      <c r="M36" s="3" t="inlineStr"/>
      <c r="N36" s="8" t="n"/>
      <c r="O36" s="3" t="inlineStr">
        <is>
          <t>yes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70" customWidth="1" min="4" max="4"/>
  </cols>
  <sheetData>
    <row r="1">
      <c r="A1" s="4" t="inlineStr">
        <is>
          <t>Blood stem cells: cord-blood CD34+ expansion - Earth: cost and output per attempted batch (point estimates)</t>
        </is>
      </c>
    </row>
    <row r="3">
      <c r="A3" s="6" t="inlineStr">
        <is>
          <t>Line item</t>
        </is>
      </c>
      <c r="B3" s="6" t="inlineStr">
        <is>
          <t>Value</t>
        </is>
      </c>
      <c r="C3" s="6" t="inlineStr">
        <is>
          <t>Unit</t>
        </is>
      </c>
      <c r="D3" s="6" t="inlineStr">
        <is>
          <t>Note</t>
        </is>
      </c>
    </row>
    <row r="4">
      <c r="A4" s="3" t="inlineStr">
        <is>
          <t>Earth: starting material (cord blood unit)</t>
        </is>
      </c>
      <c r="B4" s="15">
        <f>HSC_Assumptions!$F$10</f>
        <v/>
      </c>
      <c r="C4" s="5" t="inlineStr">
        <is>
          <t>USD/batch</t>
        </is>
      </c>
      <c r="D4" s="3" t="inlineStr">
        <is>
          <t>measured in another system</t>
        </is>
      </c>
    </row>
    <row r="5">
      <c r="A5" s="3" t="inlineStr">
        <is>
          <t>Earth: media, cytokines, consumables</t>
        </is>
      </c>
      <c r="B5" s="15">
        <f>HSC_Assumptions!$F$11</f>
        <v/>
      </c>
      <c r="C5" s="5" t="inlineStr">
        <is>
          <t>USD/batch</t>
        </is>
      </c>
      <c r="D5" s="3" t="inlineStr">
        <is>
          <t>not extracted (included in COGS line)</t>
        </is>
      </c>
    </row>
    <row r="6">
      <c r="A6" s="3" t="inlineStr">
        <is>
          <t>Earth: labor</t>
        </is>
      </c>
      <c r="B6" s="15">
        <f>HSC_Assumptions!$F$12</f>
        <v/>
      </c>
      <c r="C6" s="5" t="inlineStr">
        <is>
          <t>USD/batch</t>
        </is>
      </c>
      <c r="D6" s="3" t="inlineStr">
        <is>
          <t>not extracted (included in COGS line)</t>
        </is>
      </c>
    </row>
    <row r="7">
      <c r="A7" s="3" t="inlineStr">
        <is>
          <t>Earth: GMP facility allocation</t>
        </is>
      </c>
      <c r="B7" s="15">
        <f>HSC_Assumptions!$F$13</f>
        <v/>
      </c>
      <c r="C7" s="5" t="inlineStr">
        <is>
          <t>USD/batch</t>
        </is>
      </c>
      <c r="D7" s="3" t="inlineStr">
        <is>
          <t>not extracted (included in COGS line)</t>
        </is>
      </c>
    </row>
    <row r="8">
      <c r="A8" s="3" t="inlineStr">
        <is>
          <t>Earth: equipment allocation</t>
        </is>
      </c>
      <c r="B8" s="15">
        <f>HSC_Assumptions!$F$14</f>
        <v/>
      </c>
      <c r="C8" s="5" t="inlineStr">
        <is>
          <t>USD/batch</t>
        </is>
      </c>
      <c r="D8" s="3" t="inlineStr">
        <is>
          <t>not extracted (included in COGS line)</t>
        </is>
      </c>
    </row>
    <row r="9">
      <c r="A9" s="3" t="inlineStr">
        <is>
          <t>Earth: quality testing / release</t>
        </is>
      </c>
      <c r="B9" s="15">
        <f>HSC_Assumptions!$F$15</f>
        <v/>
      </c>
      <c r="C9" s="5" t="inlineStr">
        <is>
          <t>USD/batch</t>
        </is>
      </c>
      <c r="D9" s="3" t="inlineStr">
        <is>
          <t>not extracted (included in COGS line)</t>
        </is>
      </c>
    </row>
    <row r="10">
      <c r="A10" s="3" t="inlineStr">
        <is>
          <t>Earth: expansion manufacturing COGS excl. starting material (labor, facility, QC, consumables)</t>
        </is>
      </c>
      <c r="B10" s="15">
        <f>HSC_Assumptions!$F$16</f>
        <v/>
      </c>
      <c r="C10" s="5" t="inlineStr">
        <is>
          <t>USD/batch</t>
        </is>
      </c>
      <c r="D10" s="3" t="inlineStr">
        <is>
          <t>measured in another system</t>
        </is>
      </c>
    </row>
    <row r="11">
      <c r="A11" s="2" t="inlineStr">
        <is>
          <t>C_E_prod: production cost per batch</t>
        </is>
      </c>
      <c r="B11" s="16">
        <f>SUM(B4:B10)</f>
        <v/>
      </c>
      <c r="C11" s="5" t="inlineStr">
        <is>
          <t>USD/batch</t>
        </is>
      </c>
      <c r="D11" s="3" t="inlineStr"/>
    </row>
    <row r="12">
      <c r="A12" s="3" t="inlineStr">
        <is>
          <t>Earth delivery cost</t>
        </is>
      </c>
      <c r="B12" s="15">
        <f>HSC_Assumptions!$F$17</f>
        <v/>
      </c>
      <c r="C12" s="5" t="inlineStr">
        <is>
          <t>USD/batch</t>
        </is>
      </c>
      <c r="D12" s="3" t="inlineStr"/>
    </row>
    <row r="13">
      <c r="A13" s="2" t="inlineStr">
        <is>
          <t>C_E_del: delivered cost per batch</t>
        </is>
      </c>
      <c r="B13" s="16">
        <f>B11+B12</f>
        <v/>
      </c>
      <c r="C13" s="5" t="inlineStr">
        <is>
          <t>USD/batch</t>
        </is>
      </c>
      <c r="D13" s="3" t="inlineStr"/>
    </row>
    <row r="15">
      <c r="A15" s="3" t="inlineStr">
        <is>
          <t>N0: starting cells</t>
        </is>
      </c>
      <c r="B15" s="17">
        <f>HSC_Assumptions!$F$6</f>
        <v/>
      </c>
      <c r="C15" s="5" t="inlineStr">
        <is>
          <t>cells</t>
        </is>
      </c>
      <c r="D15" s="3" t="inlineStr"/>
    </row>
    <row r="16">
      <c r="A16" s="3" t="inlineStr">
        <is>
          <t>g_E: growth (cells out per starting cell)</t>
        </is>
      </c>
      <c r="B16" s="18">
        <f>HSC_Assumptions!$F$7</f>
        <v/>
      </c>
      <c r="C16" s="5" t="inlineStr">
        <is>
          <t>fold</t>
        </is>
      </c>
      <c r="D16" s="3" t="inlineStr"/>
    </row>
    <row r="17">
      <c r="A17" s="3" t="inlineStr">
        <is>
          <t>q_E: share of correct / qualified cells</t>
        </is>
      </c>
      <c r="B17" s="19">
        <f>HSC_Assumptions!$F$8</f>
        <v/>
      </c>
      <c r="C17" s="5" t="inlineStr">
        <is>
          <t>fraction</t>
        </is>
      </c>
      <c r="D17" s="3" t="inlineStr"/>
    </row>
    <row r="18">
      <c r="A18" s="3" t="inlineStr">
        <is>
          <t>p_E: batch success probability</t>
        </is>
      </c>
      <c r="B18" s="19">
        <f>HSC_Assumptions!$F$9</f>
        <v/>
      </c>
      <c r="C18" s="5" t="inlineStr">
        <is>
          <t>probability</t>
        </is>
      </c>
      <c r="D18" s="3" t="inlineStr"/>
    </row>
    <row r="19">
      <c r="A19" s="3" t="inlineStr">
        <is>
          <t>U: cells per unit</t>
        </is>
      </c>
      <c r="B19" s="17">
        <f>HSC_Assumptions!$F$5</f>
        <v/>
      </c>
      <c r="C19" s="5" t="inlineStr">
        <is>
          <t>cells/unit</t>
        </is>
      </c>
      <c r="D19" s="3" t="inlineStr"/>
    </row>
    <row r="20">
      <c r="A20" s="3" t="inlineStr">
        <is>
          <t>Y_E = N0 x g_E x q_E / U  (successful batch)</t>
        </is>
      </c>
      <c r="B20" s="20">
        <f>B15*B16*B17/B19</f>
        <v/>
      </c>
      <c r="C20" s="5" t="inlineStr">
        <is>
          <t>units/batch</t>
        </is>
      </c>
      <c r="D20" s="3" t="inlineStr"/>
    </row>
    <row r="21">
      <c r="A21" s="2" t="inlineStr">
        <is>
          <t>Q_E = p_E x Y_E  (expected per attempted batch)</t>
        </is>
      </c>
      <c r="B21" s="21">
        <f>B18*B20</f>
        <v/>
      </c>
      <c r="C21" s="5" t="inlineStr">
        <is>
          <t>units/batch</t>
        </is>
      </c>
      <c r="D21" s="3" t="inlineStr"/>
    </row>
    <row r="22">
      <c r="A22" s="3" t="inlineStr">
        <is>
          <t>c_E_prod: production cost per unit</t>
        </is>
      </c>
      <c r="B22" s="22">
        <f>IF(B21&gt;0,B11/B21,"No usable output")</f>
        <v/>
      </c>
      <c r="C22" s="5" t="inlineStr">
        <is>
          <t>USD/unit</t>
        </is>
      </c>
      <c r="D22" s="3" t="inlineStr"/>
    </row>
    <row r="23">
      <c r="A23" s="2" t="inlineStr">
        <is>
          <t>c_E: delivered cost per unit</t>
        </is>
      </c>
      <c r="B23" s="23">
        <f>IF(B21&gt;0,B13/B21,"No usable output")</f>
        <v/>
      </c>
      <c r="C23" s="5" t="inlineStr">
        <is>
          <t>USD/unit</t>
        </is>
      </c>
      <c r="D23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70" customWidth="1" min="4" max="4"/>
  </cols>
  <sheetData>
    <row r="1">
      <c r="A1" s="4" t="inlineStr">
        <is>
          <t>Blood stem cells: cord-blood CD34+ expansion - Space (LEO): cost and output per attempted batch (point estimates)</t>
        </is>
      </c>
    </row>
    <row r="3">
      <c r="A3" s="6" t="inlineStr">
        <is>
          <t>Line item</t>
        </is>
      </c>
      <c r="B3" s="6" t="inlineStr">
        <is>
          <t>Value</t>
        </is>
      </c>
      <c r="C3" s="6" t="inlineStr">
        <is>
          <t>Unit</t>
        </is>
      </c>
      <c r="D3" s="6" t="inlineStr">
        <is>
          <t>Note</t>
        </is>
      </c>
    </row>
    <row r="4">
      <c r="A4" s="3" t="inlineStr">
        <is>
          <t>Space: starting material (cord blood unit)</t>
        </is>
      </c>
      <c r="B4" s="15">
        <f>HSC_Assumptions!$F$22</f>
        <v/>
      </c>
      <c r="C4" s="5" t="inlineStr">
        <is>
          <t>USD/batch</t>
        </is>
      </c>
      <c r="D4" s="3" t="inlineStr">
        <is>
          <t>measured in another system</t>
        </is>
      </c>
    </row>
    <row r="5">
      <c r="A5" s="3" t="inlineStr">
        <is>
          <t>Space: media, cytokines, consumables</t>
        </is>
      </c>
      <c r="B5" s="15">
        <f>HSC_Assumptions!$F$23</f>
        <v/>
      </c>
      <c r="C5" s="5" t="inlineStr">
        <is>
          <t>USD/batch</t>
        </is>
      </c>
      <c r="D5" s="3" t="inlineStr">
        <is>
          <t>not extracted (included in ground COGS line)</t>
        </is>
      </c>
    </row>
    <row r="6">
      <c r="A6" s="3" t="inlineStr">
        <is>
          <t>Space: operations / crew time</t>
        </is>
      </c>
      <c r="B6" s="15">
        <f>HSC_Assumptions!$F$26</f>
        <v/>
      </c>
      <c r="C6" s="5" t="inlineStr">
        <is>
          <t>USD/batch</t>
        </is>
      </c>
      <c r="D6" s="3" t="inlineStr">
        <is>
          <t>engineering estimate (derived)</t>
        </is>
      </c>
    </row>
    <row r="7">
      <c r="A7" s="3" t="inlineStr">
        <is>
          <t>Space: orbital facility / implementation-partner allocation</t>
        </is>
      </c>
      <c r="B7" s="15">
        <f>HSC_Assumptions!$F$27</f>
        <v/>
      </c>
      <c r="C7" s="5" t="inlineStr">
        <is>
          <t>USD/batch</t>
        </is>
      </c>
      <c r="D7" s="3" t="inlineStr">
        <is>
          <t>speculative scenario</t>
        </is>
      </c>
    </row>
    <row r="8">
      <c r="A8" s="3" t="inlineStr">
        <is>
          <t>Space: flight hardware allocation</t>
        </is>
      </c>
      <c r="B8" s="15">
        <f>HSC_Assumptions!$F$28</f>
        <v/>
      </c>
      <c r="C8" s="5" t="inlineStr">
        <is>
          <t>USD/batch</t>
        </is>
      </c>
      <c r="D8" s="3" t="inlineStr">
        <is>
          <t>speculative scenario</t>
        </is>
      </c>
    </row>
    <row r="9">
      <c r="A9" s="3" t="inlineStr">
        <is>
          <t>Space: quality testing / release</t>
        </is>
      </c>
      <c r="B9" s="15">
        <f>HSC_Assumptions!$F$29</f>
        <v/>
      </c>
      <c r="C9" s="5" t="inlineStr">
        <is>
          <t>USD/batch</t>
        </is>
      </c>
      <c r="D9" s="3" t="inlineStr">
        <is>
          <t>not extracted (included in ground COGS line)</t>
        </is>
      </c>
    </row>
    <row r="10">
      <c r="A10" s="3" t="inlineStr">
        <is>
          <t>Space: ground GMP processing COGS (pre-flight prep, post-return QC)</t>
        </is>
      </c>
      <c r="B10" s="15">
        <f>HSC_Assumptions!$F$30</f>
        <v/>
      </c>
      <c r="C10" s="5" t="inlineStr">
        <is>
          <t>USD/batch</t>
        </is>
      </c>
      <c r="D10" s="3" t="inlineStr">
        <is>
          <t>measured in another system</t>
        </is>
      </c>
    </row>
    <row r="11">
      <c r="A11" s="2" t="inlineStr">
        <is>
          <t>C_S_prod: production (orbital manufacturing) cost per batch</t>
        </is>
      </c>
      <c r="B11" s="16">
        <f>SUM(B4:B10)</f>
        <v/>
      </c>
      <c r="C11" s="5" t="inlineStr">
        <is>
          <t>USD/batch</t>
        </is>
      </c>
      <c r="D11" s="3" t="inlineStr"/>
    </row>
    <row r="12">
      <c r="A12" s="3" t="inlineStr">
        <is>
          <t>L: launch price</t>
        </is>
      </c>
      <c r="B12" s="15">
        <f>HSC_Assumptions!$F$31</f>
        <v/>
      </c>
      <c r="C12" s="5" t="inlineStr">
        <is>
          <t>USD/kg</t>
        </is>
      </c>
      <c r="D12" s="3" t="inlineStr"/>
    </row>
    <row r="13">
      <c r="A13" s="3" t="inlineStr">
        <is>
          <t>M: launched mass</t>
        </is>
      </c>
      <c r="B13" s="18">
        <f>HSC_Assumptions!$F$32</f>
        <v/>
      </c>
      <c r="C13" s="5" t="inlineStr">
        <is>
          <t>kg/batch</t>
        </is>
      </c>
      <c r="D13" s="3" t="inlineStr"/>
    </row>
    <row r="14">
      <c r="A14" s="3" t="inlineStr">
        <is>
          <t>C_launch = L x M</t>
        </is>
      </c>
      <c r="B14" s="24">
        <f>B12*B13</f>
        <v/>
      </c>
      <c r="C14" s="5" t="inlineStr">
        <is>
          <t>USD/batch</t>
        </is>
      </c>
      <c r="D14" s="3" t="inlineStr"/>
    </row>
    <row r="15">
      <c r="A15" s="3" t="inlineStr">
        <is>
          <t>Return and recovery (return mass x downmass price)</t>
        </is>
      </c>
      <c r="B15" s="15">
        <f>HSC_Assumptions!$F$35</f>
        <v/>
      </c>
      <c r="C15" s="5" t="inlineStr">
        <is>
          <t>USD/batch</t>
        </is>
      </c>
      <c r="D15" s="3" t="inlineStr"/>
    </row>
    <row r="16">
      <c r="A16" s="3" t="inlineStr">
        <is>
          <t>Other delivery</t>
        </is>
      </c>
      <c r="B16" s="15">
        <f>HSC_Assumptions!$F$36</f>
        <v/>
      </c>
      <c r="C16" s="5" t="inlineStr">
        <is>
          <t>USD/batch</t>
        </is>
      </c>
      <c r="D16" s="3" t="inlineStr"/>
    </row>
    <row r="17">
      <c r="A17" s="2" t="inlineStr">
        <is>
          <t>C_S_del: delivered cost per batch</t>
        </is>
      </c>
      <c r="B17" s="16">
        <f>B11+B14+B15+B16</f>
        <v/>
      </c>
      <c r="C17" s="5" t="inlineStr">
        <is>
          <t>USD/batch</t>
        </is>
      </c>
      <c r="D17" s="3" t="inlineStr"/>
    </row>
    <row r="19">
      <c r="A19" s="3" t="inlineStr">
        <is>
          <t>N0: starting cells (paired with Earth)</t>
        </is>
      </c>
      <c r="B19" s="17">
        <f>HSC_Assumptions!$F$6</f>
        <v/>
      </c>
      <c r="C19" s="5" t="inlineStr">
        <is>
          <t>cells</t>
        </is>
      </c>
      <c r="D19" s="3" t="inlineStr"/>
    </row>
    <row r="20">
      <c r="A20" s="3" t="inlineStr">
        <is>
          <t>g_E: Earth growth</t>
        </is>
      </c>
      <c r="B20" s="18">
        <f>HSC_Assumptions!$F$7</f>
        <v/>
      </c>
      <c r="C20" s="5" t="inlineStr">
        <is>
          <t>fold</t>
        </is>
      </c>
      <c r="D20" s="3" t="inlineStr"/>
    </row>
    <row r="21">
      <c r="A21" s="3" t="inlineStr">
        <is>
          <t>r_g: space/Earth growth ratio</t>
        </is>
      </c>
      <c r="B21" s="25">
        <f>HSC_Assumptions!$F$18</f>
        <v/>
      </c>
      <c r="C21" s="5" t="inlineStr">
        <is>
          <t>ratio</t>
        </is>
      </c>
      <c r="D21" s="3" t="inlineStr"/>
    </row>
    <row r="22">
      <c r="A22" s="3" t="inlineStr">
        <is>
          <t>g_S = g_E x r_g</t>
        </is>
      </c>
      <c r="B22" s="26">
        <f>B20*B21</f>
        <v/>
      </c>
      <c r="C22" s="5" t="inlineStr">
        <is>
          <t>fold</t>
        </is>
      </c>
      <c r="D22" s="3" t="inlineStr"/>
    </row>
    <row r="23">
      <c r="A23" s="3" t="inlineStr">
        <is>
          <t>q_E: Earth share of correct cells</t>
        </is>
      </c>
      <c r="B23" s="19">
        <f>HSC_Assumptions!$F$8</f>
        <v/>
      </c>
      <c r="C23" s="5" t="inlineStr">
        <is>
          <t>fraction</t>
        </is>
      </c>
      <c r="D23" s="3" t="inlineStr"/>
    </row>
    <row r="24">
      <c r="A24" s="3" t="inlineStr">
        <is>
          <t>r_q: space/Earth purity ratio (thesis lever)</t>
        </is>
      </c>
      <c r="B24" s="25">
        <f>HSC_Assumptions!$F$19</f>
        <v/>
      </c>
      <c r="C24" s="5" t="inlineStr">
        <is>
          <t>ratio</t>
        </is>
      </c>
      <c r="D24" s="3" t="inlineStr"/>
    </row>
    <row r="25">
      <c r="A25" s="3" t="inlineStr">
        <is>
          <t>q_S = q_E x r_q</t>
        </is>
      </c>
      <c r="B25" s="27">
        <f>B23*B24</f>
        <v/>
      </c>
      <c r="C25" s="5" t="inlineStr">
        <is>
          <t>fraction</t>
        </is>
      </c>
      <c r="D25" s="3" t="inlineStr"/>
    </row>
    <row r="26">
      <c r="A26" s="3" t="inlineStr">
        <is>
          <t>s: post-return retention</t>
        </is>
      </c>
      <c r="B26" s="19">
        <f>HSC_Assumptions!$F$20</f>
        <v/>
      </c>
      <c r="C26" s="5" t="inlineStr">
        <is>
          <t>fraction</t>
        </is>
      </c>
      <c r="D26" s="3" t="inlineStr"/>
    </row>
    <row r="27">
      <c r="A27" s="3" t="inlineStr">
        <is>
          <t>p_S: batch success probability</t>
        </is>
      </c>
      <c r="B27" s="19">
        <f>HSC_Assumptions!$F$21</f>
        <v/>
      </c>
      <c r="C27" s="5" t="inlineStr">
        <is>
          <t>probability</t>
        </is>
      </c>
      <c r="D27" s="3" t="inlineStr"/>
    </row>
    <row r="28">
      <c r="A28" s="3" t="inlineStr">
        <is>
          <t>U: cells per unit</t>
        </is>
      </c>
      <c r="B28" s="17">
        <f>HSC_Assumptions!$F$5</f>
        <v/>
      </c>
      <c r="C28" s="5" t="inlineStr">
        <is>
          <t>cells/unit</t>
        </is>
      </c>
      <c r="D28" s="3" t="inlineStr"/>
    </row>
    <row r="29">
      <c r="A29" s="3" t="inlineStr">
        <is>
          <t>Y_S_pre = N0 x g_S x q_S / U</t>
        </is>
      </c>
      <c r="B29" s="20">
        <f>B19*B22*B25/B28</f>
        <v/>
      </c>
      <c r="C29" s="5" t="inlineStr">
        <is>
          <t>units/batch</t>
        </is>
      </c>
      <c r="D29" s="3" t="inlineStr"/>
    </row>
    <row r="30">
      <c r="A30" s="3" t="inlineStr">
        <is>
          <t>Y_S = Y_S_pre x s</t>
        </is>
      </c>
      <c r="B30" s="20">
        <f>B29*B26</f>
        <v/>
      </c>
      <c r="C30" s="5" t="inlineStr">
        <is>
          <t>units/batch</t>
        </is>
      </c>
      <c r="D30" s="3" t="inlineStr"/>
    </row>
    <row r="31">
      <c r="A31" s="3" t="inlineStr">
        <is>
          <t>Q_S_pre = p_S x Y_S_pre</t>
        </is>
      </c>
      <c r="B31" s="20">
        <f>B27*B29</f>
        <v/>
      </c>
      <c r="C31" s="5" t="inlineStr">
        <is>
          <t>units/batch</t>
        </is>
      </c>
      <c r="D31" s="3" t="inlineStr"/>
    </row>
    <row r="32">
      <c r="A32" s="2" t="inlineStr">
        <is>
          <t>Q_S = p_S x Y_S  (expected delivered per attempted batch)</t>
        </is>
      </c>
      <c r="B32" s="21">
        <f>B27*B30</f>
        <v/>
      </c>
      <c r="C32" s="5" t="inlineStr">
        <is>
          <t>units/batch</t>
        </is>
      </c>
      <c r="D32" s="3" t="inlineStr"/>
    </row>
    <row r="33">
      <c r="A33" s="3" t="inlineStr">
        <is>
          <t>c_S_prod: production cost per unit (before transport/return losses)</t>
        </is>
      </c>
      <c r="B33" s="22">
        <f>IF(B31&gt;0,B11/B31,"No usable output")</f>
        <v/>
      </c>
      <c r="C33" s="5" t="inlineStr">
        <is>
          <t>USD/unit</t>
        </is>
      </c>
      <c r="D33" s="3" t="inlineStr"/>
    </row>
    <row r="34">
      <c r="A34" s="2" t="inlineStr">
        <is>
          <t>c_S: delivered cost per unit</t>
        </is>
      </c>
      <c r="B34" s="23">
        <f>IF(B32&gt;0,B17/B32,"No usable output")</f>
        <v/>
      </c>
      <c r="C34" s="5" t="inlineStr">
        <is>
          <t>USD/unit</t>
        </is>
      </c>
      <c r="D34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74" customWidth="1" min="1" max="1"/>
    <col width="18" customWidth="1" min="2" max="2"/>
    <col width="14" customWidth="1" min="3" max="3"/>
    <col width="80" customWidth="1" min="4" max="4"/>
  </cols>
  <sheetData>
    <row r="1">
      <c r="A1" s="4" t="inlineStr">
        <is>
          <t>Blood stem cells: cord-blood CD34+ expansion - comparison and viability (deterministic, point estimates)</t>
        </is>
      </c>
    </row>
    <row r="3">
      <c r="A3" s="6" t="inlineStr">
        <is>
          <t>Metric</t>
        </is>
      </c>
      <c r="B3" s="6" t="inlineStr">
        <is>
          <t>Value</t>
        </is>
      </c>
      <c r="C3" s="6" t="inlineStr">
        <is>
          <t>Unit</t>
        </is>
      </c>
      <c r="D3" s="6" t="inlineStr">
        <is>
          <t>Note</t>
        </is>
      </c>
    </row>
    <row r="4">
      <c r="A4" s="3" t="inlineStr">
        <is>
          <t>Earth delivered cost per unit (c_E)</t>
        </is>
      </c>
      <c r="B4" s="28">
        <f>HSC_Earth!B23</f>
        <v/>
      </c>
      <c r="C4" s="5" t="inlineStr">
        <is>
          <t>USD/unit</t>
        </is>
      </c>
      <c r="D4" s="3" t="inlineStr"/>
    </row>
    <row r="5">
      <c r="A5" s="3" t="inlineStr">
        <is>
          <t>Space delivered cost per unit (c_S)</t>
        </is>
      </c>
      <c r="B5" s="28">
        <f>HSC_Space!B34</f>
        <v/>
      </c>
      <c r="C5" s="5" t="inlineStr">
        <is>
          <t>USD/unit</t>
        </is>
      </c>
      <c r="D5" s="3" t="inlineStr"/>
    </row>
    <row r="6">
      <c r="A6" s="3" t="inlineStr">
        <is>
          <t>Space production cost per unit (c_S_prod)</t>
        </is>
      </c>
      <c r="B6" s="28">
        <f>HSC_Space!B33</f>
        <v/>
      </c>
      <c r="C6" s="5" t="inlineStr">
        <is>
          <t>USD/unit</t>
        </is>
      </c>
      <c r="D6" s="3" t="inlineStr">
        <is>
          <t>Includes orbital facility costs; NOT proof of a microgravity effect.</t>
        </is>
      </c>
    </row>
    <row r="7">
      <c r="A7" s="3" t="inlineStr">
        <is>
          <t>Relative delivered savings = 1 - c_S/c_E</t>
        </is>
      </c>
      <c r="B7" s="27">
        <f>IF(AND(ISNUMBER(B4),ISNUMBER(B5),B4&gt;0),1-B5/B4,"Not defined")</f>
        <v/>
      </c>
      <c r="C7" s="5" t="inlineStr"/>
      <c r="D7" s="3" t="inlineStr">
        <is>
          <t>Negative = space more expensive.</t>
        </is>
      </c>
    </row>
    <row r="8">
      <c r="A8" s="2" t="inlineStr">
        <is>
          <t>Verdict</t>
        </is>
      </c>
      <c r="B8" s="29">
        <f>IF(AND(ISNUMBER(B4),ISNUMBER(B5)),IF(B5&lt;B4,"Space cheaper","Earth cheaper or equal"),"See no-output flags")</f>
        <v/>
      </c>
      <c r="C8" s="5" t="inlineStr"/>
      <c r="D8" s="3" t="inlineStr"/>
    </row>
    <row r="10">
      <c r="A10" s="29" t="inlineStr">
        <is>
          <t>AT WHAT COSTS IS IT VIABLE? (each line changes one input, others held at point estimates)</t>
        </is>
      </c>
    </row>
    <row r="11">
      <c r="A11" s="3" t="inlineStr">
        <is>
          <t>Max total space spend per batch to match Earth = c_E x Q_S</t>
        </is>
      </c>
      <c r="B11" s="24">
        <f>IFERROR(B4*HSC_Space!B32,"Not defined")</f>
        <v/>
      </c>
      <c r="C11" s="5" t="inlineStr">
        <is>
          <t>USD/batch</t>
        </is>
      </c>
      <c r="D11" s="3" t="inlineStr"/>
    </row>
    <row r="12">
      <c r="A12" s="3" t="inlineStr">
        <is>
          <t>Max launch price L_max = (c_E x Q_S - C_S_prod - C_return - C_other) / M</t>
        </is>
      </c>
      <c r="B12" s="24">
        <f>IF(HSC_Space!B13&gt;0,(B4*HSC_Space!B32-HSC_Space!B11-HSC_Space!B15-HSC_Space!B16)/HSC_Space!B13,"Not applicable (M=0)")</f>
        <v/>
      </c>
      <c r="C12" s="5" t="inlineStr">
        <is>
          <t>USD/kg</t>
        </is>
      </c>
      <c r="D12" s="3" t="inlineStr">
        <is>
          <t>Negative = not competitive even with free launch.</t>
        </is>
      </c>
    </row>
    <row r="13">
      <c r="A13" s="3" t="inlineStr">
        <is>
          <t>Max return cost per batch</t>
        </is>
      </c>
      <c r="B13" s="24">
        <f>IFERROR(B11-HSC_Space!B11-HSC_Space!B14-HSC_Space!B16,"Not defined")</f>
        <v/>
      </c>
      <c r="C13" s="5" t="inlineStr">
        <is>
          <t>USD/batch</t>
        </is>
      </c>
      <c r="D13" s="3" t="inlineStr">
        <is>
          <t>Negative = not viable even with free return.</t>
        </is>
      </c>
    </row>
    <row r="14">
      <c r="A14" s="3" t="inlineStr">
        <is>
          <t>Max orbital manufacturing cost per batch (C_S_prod)</t>
        </is>
      </c>
      <c r="B14" s="24">
        <f>IFERROR(B11-HSC_Space!B14-HSC_Space!B15-HSC_Space!B16,"Not defined")</f>
        <v/>
      </c>
      <c r="C14" s="5" t="inlineStr">
        <is>
          <t>USD/batch</t>
        </is>
      </c>
      <c r="D14" s="3" t="inlineStr">
        <is>
          <t>Negative = not viable even with free manufacturing.</t>
        </is>
      </c>
    </row>
    <row r="15">
      <c r="A15" s="3" t="inlineStr">
        <is>
          <t>Break-even growth ratio r_g_min = C_S_del x U / (c_E x p_S x N0 x g_E x q_S x s)</t>
        </is>
      </c>
      <c r="B15" s="30">
        <f>IFERROR(HSC_Space!B17*HSC_Space!B28/(B4*HSC_Space!B27*HSC_Space!B19*HSC_Space!B20*HSC_Space!B25*HSC_Space!B26),"Not defined")</f>
        <v/>
      </c>
      <c r="C15" s="5" t="inlineStr">
        <is>
          <t>ratio</t>
        </is>
      </c>
      <c r="D15" s="3" t="inlineStr"/>
    </row>
    <row r="16">
      <c r="A16" s="3" t="inlineStr">
        <is>
          <t>Break-even purity ratio r_q_min = C_S_del x U / (c_E x p_S x N0 x g_S x q_E x s)</t>
        </is>
      </c>
      <c r="B16" s="30">
        <f>IFERROR(HSC_Space!B17*HSC_Space!B28/(B4*HSC_Space!B27*HSC_Space!B19*HSC_Space!B22*HSC_Space!B23*HSC_Space!B26),"Not defined")</f>
        <v/>
      </c>
      <c r="C16" s="5" t="inlineStr">
        <is>
          <t>ratio</t>
        </is>
      </c>
      <c r="D16" s="3" t="inlineStr">
        <is>
          <t>Thesis lever.</t>
        </is>
      </c>
    </row>
    <row r="17">
      <c r="A17" s="3" t="inlineStr">
        <is>
          <t>Maximum possible purity ratio = 1 / q_E (space purity capped at 100%)</t>
        </is>
      </c>
      <c r="B17" s="30">
        <f>IFERROR(1/HSC_Space!B23,"Not defined")</f>
        <v/>
      </c>
      <c r="C17" s="5" t="inlineStr">
        <is>
          <t>ratio</t>
        </is>
      </c>
      <c r="D17" s="3" t="inlineStr"/>
    </row>
    <row r="18">
      <c r="A18" s="2" t="inlineStr">
        <is>
          <t>Can the purity advantage alone make space viable?</t>
        </is>
      </c>
      <c r="B18" s="29">
        <f>IF(AND(ISNUMBER(B16),ISNUMBER(B17)),IF(B16&lt;=B17,"Possible in principle","NO: required ratio exceeds the 100%-purity cap"),"Not defined")</f>
        <v/>
      </c>
      <c r="C18" s="5" t="inlineStr"/>
      <c r="D18" s="3" t="inlineStr"/>
    </row>
    <row r="19">
      <c r="A19" s="3" t="inlineStr">
        <is>
          <t>Space cost per unit if 100% of space cells were correct</t>
        </is>
      </c>
      <c r="B19" s="22">
        <f>IFERROR(HSC_Space!B17/(HSC_Space!B27*HSC_Space!B19*HSC_Space!B22*HSC_Space!B26/HSC_Space!B28),"Not defined")</f>
        <v/>
      </c>
      <c r="C19" s="5" t="inlineStr">
        <is>
          <t>USD/unit</t>
        </is>
      </c>
      <c r="D19" s="3" t="inlineStr">
        <is>
          <t>Best case for the thesis.</t>
        </is>
      </c>
    </row>
    <row r="20">
      <c r="A20" s="3" t="inlineStr">
        <is>
          <t>Required output ratio C_S_del / C_E_del (Q_S/Q_E must exceed this)</t>
        </is>
      </c>
      <c r="B20" s="30">
        <f>IFERROR(HSC_Space!B17/HSC_Earth!B13,"Not defined")</f>
        <v/>
      </c>
      <c r="C20" s="5" t="inlineStr">
        <is>
          <t>ratio</t>
        </is>
      </c>
      <c r="D20" s="3" t="inlineStr"/>
    </row>
    <row r="21">
      <c r="A21" s="3" t="inlineStr">
        <is>
          <t>Current output ratio Q_S / Q_E</t>
        </is>
      </c>
      <c r="B21" s="30">
        <f>IFERROR(HSC_Space!B32/HSC_Earth!B21,"Not defined")</f>
        <v/>
      </c>
      <c r="C21" s="5" t="inlineStr">
        <is>
          <t>ratio</t>
        </is>
      </c>
      <c r="D21" s="3" t="inlineStr"/>
    </row>
    <row r="23">
      <c r="A23" s="3" t="inlineStr">
        <is>
          <t>P(r_g &gt; r_g_min) under the triangular r_g range, all else fixed</t>
        </is>
      </c>
      <c r="B23" s="31">
        <f>IF(ISNUMBER(B15),IF(B15&lt;=HSC_Assumptions!$E$18,1,IF(B15&gt;=HSC_Assumptions!$G$18,0,IF(B15&lt;=HSC_Assumptions!$F$18,1-(B15-HSC_Assumptions!$E$18)^2/((HSC_Assumptions!$G$18-HSC_Assumptions!$E$18)*(HSC_Assumptions!$F$18-HSC_Assumptions!$E$18)),(HSC_Assumptions!$G$18-B15)^2/((HSC_Assumptions!$G$18-HSC_Assumptions!$E$18)*(HSC_Assumptions!$G$18-HSC_Assumptions!$F$18))))),"Not defined")</f>
        <v/>
      </c>
      <c r="C23" s="5" t="inlineStr">
        <is>
          <t>probability</t>
        </is>
      </c>
      <c r="D23" s="3" t="inlineStr">
        <is>
          <t>Analytic triangular tail. Conditional on the range; not a forecast. Joint uncertainty: run the calculator's Monte Carlo.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4" customWidth="1" min="3" max="3"/>
    <col width="30" customWidth="1" min="4" max="4"/>
    <col width="36" customWidth="1" min="5" max="5"/>
    <col width="50" customWidth="1" min="6" max="6"/>
  </cols>
  <sheetData>
    <row r="1">
      <c r="A1" s="4" t="inlineStr">
        <is>
          <t>Blood stem cells: cord-blood CD34+ expansion - key assumptions and the author's subjective probability each is true</t>
        </is>
      </c>
    </row>
    <row r="2">
      <c r="A2" s="5" t="inlineStr">
        <is>
          <t>Subjective judgments drafted from the evidence inventory for discussion; review and replace with your own. NOT derived from p-values, NOT used in the simulation, NOT independent of one another.</t>
        </is>
      </c>
    </row>
    <row r="4">
      <c r="A4" s="6" t="inlineStr">
        <is>
          <t>ID</t>
        </is>
      </c>
      <c r="B4" s="6" t="inlineStr">
        <is>
          <t>Claim</t>
        </is>
      </c>
      <c r="C4" s="6" t="inlineStr">
        <is>
          <t>Subjective P(true)</t>
        </is>
      </c>
      <c r="D4" s="6" t="inlineStr">
        <is>
          <t>Evidence for</t>
        </is>
      </c>
      <c r="E4" s="6" t="inlineStr">
        <is>
          <t>Evidence against</t>
        </is>
      </c>
      <c r="F4" s="6" t="inlineStr">
        <is>
          <t>Comment</t>
        </is>
      </c>
    </row>
    <row r="5">
      <c r="A5" s="3" t="inlineStr">
        <is>
          <t>A1</t>
        </is>
      </c>
      <c r="B5" s="3" t="inlineStr">
        <is>
          <t>Real microgravity increases gross expansion of human cord-blood CD34+ cells vs matched Earth controls (r_g &gt; 1)</t>
        </is>
      </c>
      <c r="C5" s="8" t="n">
        <v>0.3</v>
      </c>
      <c r="D5" s="3" t="inlineStr">
        <is>
          <t>S14 (sim. microgravity, more cells at day 5)</t>
        </is>
      </c>
      <c r="E5" s="3" t="inlineStr">
        <is>
          <t>S12, S13 (decreased proliferation), C13</t>
        </is>
      </c>
      <c r="F5" s="3" t="inlineStr">
        <is>
          <t>Mixed evidence; mostly simulated microgravity or mouse cells.</t>
        </is>
      </c>
    </row>
    <row r="6">
      <c r="A6" s="3" t="inlineStr">
        <is>
          <t>A2</t>
        </is>
      </c>
      <c r="B6" s="3" t="inlineStr">
        <is>
          <t>Microgravity-expanded cells keep Earth-equivalent function (r_q &gt;= 1)</t>
        </is>
      </c>
      <c r="C6" s="8" t="n">
        <v>0.25</v>
      </c>
      <c r="D6" s="3" t="inlineStr">
        <is>
          <t>None direct</t>
        </is>
      </c>
      <c r="E6" s="3" t="inlineStr">
        <is>
          <t>S14 (repopulation 2.1 vs 14.8), C13 (ISS aging signatures)</t>
        </is>
      </c>
      <c r="F6" s="3" t="inlineStr">
        <is>
          <t>Functional data point the other way.</t>
        </is>
      </c>
    </row>
    <row r="7">
      <c r="A7" s="3" t="inlineStr">
        <is>
          <t>A3</t>
        </is>
      </c>
      <c r="B7" s="3" t="inlineStr">
        <is>
          <t>Earth CD34+ expansion of ~35-330 fold is achievable at GMP scale</t>
        </is>
      </c>
      <c r="C7" s="8" t="n">
        <v>0.85</v>
      </c>
      <c r="D7" s="3" t="inlineStr">
        <is>
          <t>S1, S2, S3</t>
        </is>
      </c>
      <c r="E7" s="3" t="inlineStr"/>
      <c r="F7" s="3" t="inlineStr">
        <is>
          <t>Approved product (Omisirge) exists.</t>
        </is>
      </c>
    </row>
    <row r="8">
      <c r="A8" s="3" t="inlineStr">
        <is>
          <t>A4</t>
        </is>
      </c>
      <c r="B8" s="3" t="inlineStr">
        <is>
          <t>Orbital batch release probability &gt;= 85%</t>
        </is>
      </c>
      <c r="C8" s="8" t="n">
        <v>0.35</v>
      </c>
      <c r="D8" s="3" t="inlineStr"/>
      <c r="E8" s="3" t="inlineStr">
        <is>
          <t>No orbital GMP data</t>
        </is>
      </c>
      <c r="F8" s="3" t="inlineStr">
        <is>
          <t>Pure judgment.</t>
        </is>
      </c>
    </row>
    <row r="9">
      <c r="A9" s="3" t="inlineStr">
        <is>
          <t>A5</t>
        </is>
      </c>
      <c r="B9" s="3" t="inlineStr">
        <is>
          <t>Launch to an orbital lab at &lt;= $20,000/kg is available for this payload class</t>
        </is>
      </c>
      <c r="C9" s="8" t="n">
        <v>0.6</v>
      </c>
      <c r="D9" s="3" t="inlineStr">
        <is>
          <t>S9, S10</t>
        </is>
      </c>
      <c r="E9" s="3" t="inlineStr">
        <is>
          <t>S11</t>
        </is>
      </c>
      <c r="F9" s="3" t="inlineStr">
        <is>
          <t>Depends on provider and NASA policy.</t>
        </is>
      </c>
    </row>
    <row r="10">
      <c r="A10" s="3" t="inlineStr">
        <is>
          <t>A6</t>
        </is>
      </c>
      <c r="B10" s="3" t="inlineStr">
        <is>
          <t>Post-return retention of qualified cells &gt;= 75%</t>
        </is>
      </c>
      <c r="C10" s="8" t="n">
        <v>0.5</v>
      </c>
      <c r="D10" s="3" t="inlineStr">
        <is>
          <t>S17</t>
        </is>
      </c>
      <c r="E10" s="3" t="inlineStr">
        <is>
          <t>S18</t>
        </is>
      </c>
      <c r="F10" s="3" t="inlineStr">
        <is>
          <t>Cryo recovery data from Earth shipping, not re-entry.</t>
        </is>
      </c>
    </row>
    <row r="11">
      <c r="A11" s="3" t="inlineStr">
        <is>
          <t>A7</t>
        </is>
      </c>
      <c r="B11" s="3" t="inlineStr">
        <is>
          <t>Space-specific overheads (facility, hardware, crew) &lt;= $300k per batch at the point estimate</t>
        </is>
      </c>
      <c r="C11" s="8" t="n">
        <v>0.4</v>
      </c>
      <c r="D11" s="3" t="inlineStr"/>
      <c r="E11" s="3" t="inlineStr"/>
      <c r="F11" s="3" t="inlineStr">
        <is>
          <t>No public prices; placeholders.</t>
        </is>
      </c>
    </row>
    <row r="13">
      <c r="A13" s="3" t="inlineStr">
        <is>
          <t>Product of all P IF independent (they are not; illustration only)</t>
        </is>
      </c>
      <c r="B13" s="31">
        <f>PRODUCT(C5:C11)</f>
        <v/>
      </c>
      <c r="C13" s="5" t="inlineStr"/>
      <c r="D13" s="3" t="inlineStr"/>
    </row>
    <row r="14">
      <c r="A14" s="3" t="inlineStr">
        <is>
          <t>Model-based P(r_g &gt; break-even), from HSC_Comparison</t>
        </is>
      </c>
      <c r="B14" s="32">
        <f>HSC_Comparison!B23</f>
        <v/>
      </c>
      <c r="C14" s="5" t="inlineStr"/>
      <c r="D14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0" customWidth="1" min="3" max="3"/>
    <col width="30" customWidth="1" min="4" max="4"/>
  </cols>
  <sheetData>
    <row r="1">
      <c r="A1" s="4" t="inlineStr">
        <is>
          <t>PRD section 11 check case (hypothetical inputs; verifies the formulas)</t>
        </is>
      </c>
    </row>
    <row r="3">
      <c r="A3" s="6" t="inlineStr">
        <is>
          <t>Item</t>
        </is>
      </c>
      <c r="B3" s="6" t="inlineStr">
        <is>
          <t>Value</t>
        </is>
      </c>
      <c r="C3" s="6" t="inlineStr">
        <is>
          <t>Unit</t>
        </is>
      </c>
      <c r="D3" s="6" t="inlineStr">
        <is>
          <t>Note</t>
        </is>
      </c>
    </row>
    <row r="4">
      <c r="A4" s="5" t="inlineStr">
        <is>
          <t>U</t>
        </is>
      </c>
      <c r="B4" s="34" t="n">
        <v>1000000</v>
      </c>
    </row>
    <row r="5">
      <c r="A5" s="5" t="inlineStr">
        <is>
          <t>N0</t>
        </is>
      </c>
      <c r="B5" s="34" t="n">
        <v>1000000</v>
      </c>
    </row>
    <row r="6">
      <c r="A6" s="5" t="inlineStr">
        <is>
          <t>g_E</t>
        </is>
      </c>
      <c r="B6" s="34" t="n">
        <v>20</v>
      </c>
    </row>
    <row r="7">
      <c r="A7" s="5" t="inlineStr">
        <is>
          <t>r_g</t>
        </is>
      </c>
      <c r="B7" s="34" t="n">
        <v>2</v>
      </c>
    </row>
    <row r="8">
      <c r="A8" s="5" t="inlineStr">
        <is>
          <t>q_E</t>
        </is>
      </c>
      <c r="B8" s="34" t="n">
        <v>0.5</v>
      </c>
    </row>
    <row r="9">
      <c r="A9" s="5" t="inlineStr">
        <is>
          <t>r_q</t>
        </is>
      </c>
      <c r="B9" s="34" t="n">
        <v>1</v>
      </c>
    </row>
    <row r="10">
      <c r="A10" s="5" t="inlineStr">
        <is>
          <t>s</t>
        </is>
      </c>
      <c r="B10" s="34" t="n">
        <v>0.8</v>
      </c>
    </row>
    <row r="11">
      <c r="A11" s="5" t="inlineStr">
        <is>
          <t>p_E</t>
        </is>
      </c>
      <c r="B11" s="34" t="n">
        <v>1</v>
      </c>
    </row>
    <row r="12">
      <c r="A12" s="5" t="inlineStr">
        <is>
          <t>p_S</t>
        </is>
      </c>
      <c r="B12" s="34" t="n">
        <v>1</v>
      </c>
    </row>
    <row r="13">
      <c r="A13" s="5" t="inlineStr">
        <is>
          <t>C_E_prod</t>
        </is>
      </c>
      <c r="B13" s="34" t="n">
        <v>100000</v>
      </c>
    </row>
    <row r="14">
      <c r="A14" s="5" t="inlineStr">
        <is>
          <t>E_delivery</t>
        </is>
      </c>
      <c r="B14" s="34" t="n">
        <v>0</v>
      </c>
    </row>
    <row r="15">
      <c r="A15" s="5" t="inlineStr">
        <is>
          <t>C_S_prod</t>
        </is>
      </c>
      <c r="B15" s="34" t="n">
        <v>200000</v>
      </c>
    </row>
    <row r="16">
      <c r="A16" s="5" t="inlineStr">
        <is>
          <t>L</t>
        </is>
      </c>
      <c r="B16" s="34" t="n">
        <v>2000</v>
      </c>
    </row>
    <row r="17">
      <c r="A17" s="5" t="inlineStr">
        <is>
          <t>M</t>
        </is>
      </c>
      <c r="B17" s="34" t="n">
        <v>50</v>
      </c>
    </row>
    <row r="18">
      <c r="A18" s="5" t="inlineStr">
        <is>
          <t>C_return</t>
        </is>
      </c>
      <c r="B18" s="34" t="n">
        <v>50000</v>
      </c>
    </row>
    <row r="19">
      <c r="A19" s="5" t="inlineStr">
        <is>
          <t>C_other</t>
        </is>
      </c>
      <c r="B19" s="34" t="n">
        <v>0</v>
      </c>
    </row>
    <row r="20">
      <c r="A20" s="3" t="inlineStr">
        <is>
          <t>Earth output Y_E (expect 10)</t>
        </is>
      </c>
      <c r="B20" s="35">
        <f>B5*B6*B8/B4</f>
        <v/>
      </c>
      <c r="C20" s="5" t="inlineStr"/>
      <c r="D20" s="3" t="inlineStr"/>
    </row>
    <row r="21">
      <c r="A21" s="3" t="inlineStr">
        <is>
          <t>Space pre-return output (expect 20)</t>
        </is>
      </c>
      <c r="B21" s="35">
        <f>B5*B6*B7*B8*B9/B4</f>
        <v/>
      </c>
      <c r="C21" s="5" t="inlineStr"/>
      <c r="D21" s="3" t="inlineStr"/>
    </row>
    <row r="22">
      <c r="A22" s="3" t="inlineStr">
        <is>
          <t>Space delivered output (expect 16)</t>
        </is>
      </c>
      <c r="B22" s="35">
        <f>B21*B10</f>
        <v/>
      </c>
      <c r="C22" s="5" t="inlineStr"/>
      <c r="D22" s="3" t="inlineStr"/>
    </row>
    <row r="23">
      <c r="A23" s="3" t="inlineStr">
        <is>
          <t>Earth delivered cost (expect $10,000)</t>
        </is>
      </c>
      <c r="B23" s="22">
        <f>(B13+B14)/(B11*B20)</f>
        <v/>
      </c>
      <c r="C23" s="5" t="inlineStr"/>
      <c r="D23" s="3" t="inlineStr"/>
    </row>
    <row r="24">
      <c r="A24" s="3" t="inlineStr">
        <is>
          <t>Space production cost (expect $10,000)</t>
        </is>
      </c>
      <c r="B24" s="22">
        <f>B15/(B12*B21)</f>
        <v/>
      </c>
      <c r="C24" s="5" t="inlineStr"/>
      <c r="D24" s="3" t="inlineStr"/>
    </row>
    <row r="25">
      <c r="A25" s="3" t="inlineStr">
        <is>
          <t>C_S_del (expect $350,000)</t>
        </is>
      </c>
      <c r="B25" s="24">
        <f>B15+B16*B17+B18+B19</f>
        <v/>
      </c>
      <c r="C25" s="5" t="inlineStr"/>
      <c r="D25" s="3" t="inlineStr"/>
    </row>
    <row r="26">
      <c r="A26" s="3" t="inlineStr">
        <is>
          <t>Space delivered cost (expect $21,875)</t>
        </is>
      </c>
      <c r="B26" s="22">
        <f>B25/(B12*B22)</f>
        <v/>
      </c>
      <c r="C26" s="5" t="inlineStr"/>
      <c r="D26" s="3" t="inlineStr"/>
    </row>
    <row r="27">
      <c r="A27" s="3" t="inlineStr">
        <is>
          <t>Savings (expect -118.75%)</t>
        </is>
      </c>
      <c r="B27" s="31">
        <f>1-B26/B23</f>
        <v/>
      </c>
      <c r="C27" s="5" t="inlineStr"/>
      <c r="D27" s="3" t="inlineStr"/>
    </row>
    <row r="28">
      <c r="A28" s="3" t="inlineStr">
        <is>
          <t>r_g_min (expect 4.375)</t>
        </is>
      </c>
      <c r="B28" s="35">
        <f>B25*B4/(B23*B12*B5*B6*B8*B9*B10)</f>
        <v/>
      </c>
      <c r="C28" s="5" t="inlineStr"/>
      <c r="D28" s="3" t="inlineStr"/>
    </row>
    <row r="29">
      <c r="A29" s="3" t="inlineStr">
        <is>
          <t>L_max (expect -$1,800/kg)</t>
        </is>
      </c>
      <c r="B29" s="24">
        <f>(B23*B12*B22-B15-B18-B19)/B17</f>
        <v/>
      </c>
      <c r="C29" s="5" t="inlineStr"/>
      <c r="D29" s="3" t="inlineStr"/>
    </row>
    <row r="30">
      <c r="A30" s="3" t="inlineStr">
        <is>
          <t>P(r_g &gt; 4.375) for triangular(1,2,6) (expect 13.203125%)</t>
        </is>
      </c>
      <c r="B30" s="36">
        <f>(6-4.375)^2/((6-1)*(6-2))</f>
        <v/>
      </c>
      <c r="C30" s="5" t="inlineStr"/>
      <c r="D30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8" customWidth="1" min="3" max="3"/>
    <col width="50" customWidth="1" min="4" max="4"/>
    <col width="11" customWidth="1" min="5" max="5"/>
    <col width="30" customWidth="1" min="6" max="6"/>
    <col width="7" customWidth="1" min="7" max="7"/>
    <col width="70" customWidth="1" min="8" max="8"/>
    <col width="20" customWidth="1" min="9" max="9"/>
    <col width="18" customWidth="1" min="10" max="10"/>
  </cols>
  <sheetData>
    <row r="1">
      <c r="A1" s="4" t="inlineStr">
        <is>
          <t>Sources (inventory, not votes). Verification: READ = page opened; SNIPPET = search summary only.</t>
        </is>
      </c>
    </row>
    <row r="3">
      <c r="A3" s="6" t="inlineStr">
        <is>
          <t>ID</t>
        </is>
      </c>
      <c r="B3" s="6" t="inlineStr">
        <is>
          <t>Title</t>
        </is>
      </c>
      <c r="C3" s="6" t="inlineStr">
        <is>
          <t>Year</t>
        </is>
      </c>
      <c r="D3" s="6" t="inlineStr">
        <is>
          <t>URL</t>
        </is>
      </c>
      <c r="E3" s="6" t="inlineStr">
        <is>
          <t>Verification</t>
        </is>
      </c>
      <c r="F3" s="6" t="inlineStr">
        <is>
          <t>System</t>
        </is>
      </c>
      <c r="G3" s="6" t="inlineStr">
        <is>
          <t>Side</t>
        </is>
      </c>
      <c r="H3" s="6" t="inlineStr">
        <is>
          <t>Extracted finding</t>
        </is>
      </c>
      <c r="I3" s="6" t="inlineStr">
        <is>
          <t>Direction</t>
        </is>
      </c>
      <c r="J3" s="6" t="inlineStr">
        <is>
          <t>Linked inputs</t>
        </is>
      </c>
    </row>
    <row r="4">
      <c r="A4" s="3" t="inlineStr">
        <is>
          <t>C1</t>
        </is>
      </c>
      <c r="B4" s="3" t="inlineStr">
        <is>
          <t>Kempf H et al. Controlling Expansion and Cardiomyogenic Differentiation of Human Pluripotent Stem Cells in Scalable Suspension Culture. Stem Cell Reports</t>
        </is>
      </c>
      <c r="C4" s="3" t="n">
        <v>2014</v>
      </c>
      <c r="D4" s="3" t="inlineStr">
        <is>
          <t>https://pmc.ncbi.nlm.nih.gov/articles/PMC4264033/</t>
        </is>
      </c>
      <c r="E4" s="3" t="inlineStr">
        <is>
          <t>READ</t>
        </is>
      </c>
      <c r="F4" s="3" t="inlineStr">
        <is>
          <t>Human iPSC/ESC, stirred-tank bioreactor (Earth, 3D)</t>
        </is>
      </c>
      <c r="G4" s="3" t="inlineStr">
        <is>
          <t>Earth</t>
        </is>
      </c>
      <c r="H4" s="3" t="inlineStr">
        <is>
          <t>Bioreactor CM purity: HES3 68.6% +/- 8.7%; iPSC line 58% +/- 30.3% (runs 27-88%); ~40 million CMs per run; all 3 runs from batch-expanded cells failed.</t>
        </is>
      </c>
      <c r="I4" s="3" t="inlineStr">
        <is>
          <t>supportive (Earth baseline; shows variability)</t>
        </is>
      </c>
      <c r="J4" s="3" t="inlineStr">
        <is>
          <t>q_E, p_E</t>
        </is>
      </c>
    </row>
    <row r="5">
      <c r="A5" s="3" t="inlineStr">
        <is>
          <t>C2</t>
        </is>
      </c>
      <c r="B5" s="3" t="inlineStr">
        <is>
          <t>Halloin C et al. Continuous WNT Control Enables Advanced hPSC Cardiac Processing and Prognostic Surface Marker Identification in Chemically Defined Suspension Culture. Stem Cell Reports</t>
        </is>
      </c>
      <c r="C5" s="3" t="n">
        <v>2019</v>
      </c>
      <c r="D5" s="3" t="inlineStr">
        <is>
          <t>https://pmc.ncbi.nlm.nih.gov/articles/PMC6700605/</t>
        </is>
      </c>
      <c r="E5" s="3" t="inlineStr">
        <is>
          <t>READ</t>
        </is>
      </c>
      <c r="F5" s="3" t="inlineStr">
        <is>
          <t>Human PSC, suspension bioreactor (Earth, 3D)</t>
        </is>
      </c>
      <c r="G5" s="3" t="inlineStr">
        <is>
          <t>Earth</t>
        </is>
      </c>
      <c r="H5" s="3" t="inlineStr">
        <is>
          <t>93.5% +/- 5.0% cTnT+ at 150 ml (n=3); 89.1% +/- 7.8% at 350-500 ml; up to ~4-4.5e8 CMs per run.</t>
        </is>
      </c>
      <c r="I5" s="3" t="inlineStr">
        <is>
          <t>supportive (Earth best case)</t>
        </is>
      </c>
      <c r="J5" s="3" t="inlineStr">
        <is>
          <t>q_E, g_E</t>
        </is>
      </c>
    </row>
    <row r="6">
      <c r="A6" s="3" t="inlineStr">
        <is>
          <t>C3</t>
        </is>
      </c>
      <c r="B6" s="3" t="inlineStr">
        <is>
          <t>Prondzynski M et al. Efficient and reproducible generation of human iPSC-derived cardiomyocytes in stirred suspension (bioRxiv 2024; Nat Commun 2024)</t>
        </is>
      </c>
      <c r="C6" s="3" t="n">
        <v>2024</v>
      </c>
      <c r="D6" s="3" t="inlineStr">
        <is>
          <t>https://pmc.ncbi.nlm.nih.gov/articles/PMC10925150/</t>
        </is>
      </c>
      <c r="E6" s="3" t="inlineStr">
        <is>
          <t>READ</t>
        </is>
      </c>
      <c r="F6" s="3" t="inlineStr">
        <is>
          <t>Human iPSC, 19 bioreactor runs, 10 lines (Earth, 3D)</t>
        </is>
      </c>
      <c r="G6" s="3" t="inlineStr">
        <is>
          <t>Earth</t>
        </is>
      </c>
      <c r="H6" s="3" t="inlineStr">
        <is>
          <t>&gt;90% cTnT+; ~2.5 CMs per input iPSC; ~$569 materials per run of ~124M CMs (research grade, excl. labor) vs ~$1,075 monolayer.</t>
        </is>
      </c>
      <c r="I6" s="3" t="inlineStr">
        <is>
          <t>supportive (Earth baseline)</t>
        </is>
      </c>
      <c r="J6" s="3" t="inlineStr">
        <is>
          <t>g_E, q_E, E_consumables</t>
        </is>
      </c>
    </row>
    <row r="7">
      <c r="A7" s="3" t="inlineStr">
        <is>
          <t>C4</t>
        </is>
      </c>
      <c r="B7" s="3" t="inlineStr">
        <is>
          <t>Chemically defined cardiomyocyte differentiation protocol (STAR Protocols)</t>
        </is>
      </c>
      <c r="C7" s="3" t="n">
        <v>2020</v>
      </c>
      <c r="D7" s="3" t="inlineStr">
        <is>
          <t>https://www.cell.com/star-protocols/fulltext/S2666-1667(20)30002-2</t>
        </is>
      </c>
      <c r="E7" s="3" t="inlineStr">
        <is>
          <t>SNIPPET</t>
        </is>
      </c>
      <c r="F7" s="3" t="inlineStr">
        <is>
          <t>Human iPSC, hundreds of batches, &gt;50 lines</t>
        </is>
      </c>
      <c r="G7" s="3" t="inlineStr">
        <is>
          <t>Earth</t>
        </is>
      </c>
      <c r="H7" s="3" t="inlineStr">
        <is>
          <t>Successful differentiation (&gt;85% purity) in over 80% of runs.</t>
        </is>
      </c>
      <c r="I7" s="3" t="inlineStr">
        <is>
          <t>supportive (run success rate)</t>
        </is>
      </c>
      <c r="J7" s="3" t="inlineStr">
        <is>
          <t>p_E</t>
        </is>
      </c>
    </row>
    <row r="8">
      <c r="A8" s="3" t="inlineStr">
        <is>
          <t>C5</t>
        </is>
      </c>
      <c r="B8" s="3" t="inlineStr">
        <is>
          <t>Kim JH, Kawase E, Bharti K, Karnieli O, Arakawa Y, Stacey G. Perspectives on the cost of goods for hPSC banks for manufacture of cell therapies. npj Regenerative Medicine 7:54</t>
        </is>
      </c>
      <c r="C8" s="3" t="n">
        <v>2022</v>
      </c>
      <c r="D8" s="3" t="inlineStr">
        <is>
          <t>https://pmc.ncbi.nlm.nih.gov/articles/PMC9522845/</t>
        </is>
      </c>
      <c r="E8" s="3" t="inlineStr">
        <is>
          <t>READ</t>
        </is>
      </c>
      <c r="F8" s="3" t="inlineStr">
        <is>
          <t>GMP hPSC banking</t>
        </is>
      </c>
      <c r="G8" s="3" t="inlineStr">
        <is>
          <t>Earth</t>
        </is>
      </c>
      <c r="H8" s="3" t="inlineStr">
        <is>
          <t>300-vial bank ~$300,000 (~$1,000/vial; range $1,000-10,000 across banks); labor ~50% of cost; outsourced testing ~$10k/lot; facility upkeep ~$2.2M/yr.</t>
        </is>
      </c>
      <c r="I8" s="3" t="inlineStr">
        <is>
          <t>supportive (cost)</t>
        </is>
      </c>
      <c r="J8" s="3" t="inlineStr">
        <is>
          <t>E_cells, E_labor, E_facility, E_qc</t>
        </is>
      </c>
    </row>
    <row r="9">
      <c r="A9" s="3" t="inlineStr">
        <is>
          <t>C6</t>
        </is>
      </c>
      <c r="B9" s="3" t="inlineStr">
        <is>
          <t>Jha R, Wu Q, Singh M et al. Simulated Microgravity and 3D Culture Enhance Induction, Viability, Proliferation and Differentiation of Cardiac Progenitors from Human Pluripotent Stem Cells. Scientific Reports 6:30956</t>
        </is>
      </c>
      <c r="C9" s="3" t="n">
        <v>2016</v>
      </c>
      <c r="D9" s="3" t="inlineStr">
        <is>
          <t>https://www.nature.com/articles/srep30956</t>
        </is>
      </c>
      <c r="E9" s="3" t="inlineStr">
        <is>
          <t>SNIPPET</t>
        </is>
      </c>
      <c r="F9" s="3" t="inlineStr">
        <is>
          <t>Human PSC, random positioning machine vs 3D at 1g</t>
        </is>
      </c>
      <c r="G9" s="3" t="inlineStr">
        <is>
          <t>Space</t>
        </is>
      </c>
      <c r="H9" s="3" t="inlineStr">
        <is>
          <t>~99% CM purity, ~90% viability, 1.5-4-fold more CMs per input stem cell vs 3D culture at normal gravity.</t>
        </is>
      </c>
      <c r="I9" s="3" t="inlineStr">
        <is>
          <t>supportive (simulated microgravity)</t>
        </is>
      </c>
      <c r="J9" s="3" t="inlineStr">
        <is>
          <t>r_g, r_q</t>
        </is>
      </c>
    </row>
    <row r="10">
      <c r="A10" s="3" t="inlineStr">
        <is>
          <t>C7</t>
        </is>
      </c>
      <c r="B10" s="3" t="inlineStr">
        <is>
          <t>Rampoldi A et al. Space microgravity improves proliferation of human iPSC-derived cardiomyocytes. Stem Cell Reports 17:2272</t>
        </is>
      </c>
      <c r="C10" s="3" t="n">
        <v>2022</v>
      </c>
      <c r="D10" s="3" t="inlineStr">
        <is>
          <t>https://www.cell.com/stem-cell-reports/fulltext/S2213-6711(22)00416-7</t>
        </is>
      </c>
      <c r="E10" s="3" t="inlineStr">
        <is>
          <t>SNIPPET</t>
        </is>
      </c>
      <c r="F10" s="3" t="inlineStr">
        <is>
          <t>Human iPSC cardiac progenitors, ISS 3 weeks</t>
        </is>
      </c>
      <c r="G10" s="3" t="inlineStr">
        <is>
          <t>Space</t>
        </is>
      </c>
      <c r="H10" s="3" t="inlineStr">
        <is>
          <t>Spheres ~3x larger, ~20x more nuclei than 1g controls; higher proliferation; better calcium handling. No purity comparison seen.</t>
        </is>
      </c>
      <c r="I10" s="3" t="inlineStr">
        <is>
          <t>supportive (real spaceflight)</t>
        </is>
      </c>
      <c r="J10" s="3" t="inlineStr">
        <is>
          <t>r_g</t>
        </is>
      </c>
    </row>
    <row r="11">
      <c r="A11" s="3" t="inlineStr">
        <is>
          <t>C8</t>
        </is>
      </c>
      <c r="B11" s="3" t="inlineStr">
        <is>
          <t>Wnorowski A, Sharma A et al. Effects of Spaceflight on Human Induced Pluripotent Stem Cell-Derived Cardiomyocyte Structure and Function. Stem Cell Reports</t>
        </is>
      </c>
      <c r="C11" s="3" t="n">
        <v>2019</v>
      </c>
      <c r="D11" s="3" t="inlineStr">
        <is>
          <t>https://www.cell.com/stem-cell-reports/fulltext/S2213-6711(19)30367-4</t>
        </is>
      </c>
      <c r="E11" s="3" t="inlineStr">
        <is>
          <t>SNIPPET</t>
        </is>
      </c>
      <c r="F11" s="3" t="inlineStr">
        <is>
          <t>Human iPSC-CMs, ISS ~5.5 weeks</t>
        </is>
      </c>
      <c r="G11" s="3" t="inlineStr">
        <is>
          <t>Space</t>
        </is>
      </c>
      <c r="H11" s="3" t="inlineStr">
        <is>
          <t>2,635 differentially expressed genes; altered calcium handling; structure unchanged; reverted after return. Says nothing about yield.</t>
        </is>
      </c>
      <c r="I11" s="3" t="inlineStr">
        <is>
          <t>contextual</t>
        </is>
      </c>
      <c r="J11" s="3" t="inlineStr">
        <is>
          <t>s</t>
        </is>
      </c>
    </row>
    <row r="12">
      <c r="A12" s="3" t="inlineStr">
        <is>
          <t>C9</t>
        </is>
      </c>
      <c r="B12" s="3" t="inlineStr">
        <is>
          <t>Timilsina S et al. Enhanced self-renewal of human pluripotent stem cells by simulated microgravity. npj Microgravity 8:22</t>
        </is>
      </c>
      <c r="C12" s="3" t="n">
        <v>2022</v>
      </c>
      <c r="D12" s="3" t="inlineStr">
        <is>
          <t>https://pmc.ncbi.nlm.nih.gov/articles/PMC9253108/</t>
        </is>
      </c>
      <c r="E12" s="3" t="inlineStr">
        <is>
          <t>READ</t>
        </is>
      </c>
      <c r="F12" s="3" t="inlineStr">
        <is>
          <t>Human PSC, 2D clinostat vs adherent 1g (no 3D control)</t>
        </is>
      </c>
      <c r="G12" s="3" t="inlineStr">
        <is>
          <t>Space</t>
        </is>
      </c>
      <c r="H12" s="3" t="inlineStr">
        <is>
          <t>Pluripotency genes up &gt;2-fold, more cells, less induced differentiation. Supports 'stays pluripotent'; may also slow directed differentiation.</t>
        </is>
      </c>
      <c r="I12" s="3" t="inlineStr">
        <is>
          <t>mixed</t>
        </is>
      </c>
      <c r="J12" s="3" t="inlineStr">
        <is>
          <t>r_g, r_q</t>
        </is>
      </c>
    </row>
    <row r="13">
      <c r="A13" s="3" t="inlineStr">
        <is>
          <t>C10</t>
        </is>
      </c>
      <c r="B13" s="3" t="inlineStr">
        <is>
          <t>Blaber EA et al. Microgravity Reduces the Differentiation and Regenerative Potential of Embryonic Stem Cells. Stem Cells and Development 24:2605</t>
        </is>
      </c>
      <c r="C13" s="3" t="n">
        <v>2015</v>
      </c>
      <c r="D13" s="3" t="inlineStr">
        <is>
          <t>https://pmc.ncbi.nlm.nih.gov/articles/PMC4652210/</t>
        </is>
      </c>
      <c r="E13" s="3" t="inlineStr">
        <is>
          <t>SNIPPET</t>
        </is>
      </c>
      <c r="F13" s="3" t="inlineStr">
        <is>
          <t>Mouse ESC, 15 days actual spaceflight</t>
        </is>
      </c>
      <c r="G13" s="3" t="inlineStr">
        <is>
          <t>Space</t>
        </is>
      </c>
      <c r="H13" s="3" t="inlineStr">
        <is>
          <t>Differentiation inhibited across germ layers; stemness retained.</t>
        </is>
      </c>
      <c r="I13" s="3" t="inlineStr">
        <is>
          <t>mixed (supports pluripotency, against differentiation)</t>
        </is>
      </c>
      <c r="J13" s="3" t="inlineStr">
        <is>
          <t>r_g, r_q</t>
        </is>
      </c>
    </row>
    <row r="14">
      <c r="A14" s="3" t="inlineStr">
        <is>
          <t>C11</t>
        </is>
      </c>
      <c r="B14" s="3" t="inlineStr">
        <is>
          <t>Heartseed HS-001 dosing (Nikon press release)</t>
        </is>
      </c>
      <c r="C14" s="3" t="n">
        <v>2025</v>
      </c>
      <c r="D14" s="3" t="inlineStr">
        <is>
          <t>https://www.nikon.com/company/news/2025/0203_01/</t>
        </is>
      </c>
      <c r="E14" s="3" t="inlineStr">
        <is>
          <t>SNIPPET</t>
        </is>
      </c>
      <c r="F14" s="3" t="inlineStr">
        <is>
          <t>iPSC-CM clinical product</t>
        </is>
      </c>
      <c r="G14" s="3" t="inlineStr">
        <is>
          <t>Earth</t>
        </is>
      </c>
      <c r="H14" s="3" t="inlineStr">
        <is>
          <t>50 million (low) and 150 million (high) cardiomyocytes per patient.</t>
        </is>
      </c>
      <c r="I14" s="3" t="inlineStr">
        <is>
          <t>contextual (dose size)</t>
        </is>
      </c>
      <c r="J14" s="3" t="inlineStr">
        <is>
          <t>none (context)</t>
        </is>
      </c>
    </row>
    <row r="15">
      <c r="A15" s="3" t="inlineStr">
        <is>
          <t>C12</t>
        </is>
      </c>
      <c r="B15" s="3" t="inlineStr">
        <is>
          <t>Ncardia large-scale hiPSC-cardiomyocyte manufacturing (Axion application note)</t>
        </is>
      </c>
      <c r="C15" s="3" t="inlineStr">
        <is>
          <t>not extracted</t>
        </is>
      </c>
      <c r="D15" s="3" t="inlineStr">
        <is>
          <t>https://www.axionbiosystems.com/resources/application-note/controlled-large-scale-manufacturing-hipsc-derived-cardiomyocytes</t>
        </is>
      </c>
      <c r="E15" s="3" t="inlineStr">
        <is>
          <t>SNIPPET</t>
        </is>
      </c>
      <c r="F15" s="3" t="inlineStr">
        <is>
          <t>Industrial iPSC-CM batch</t>
        </is>
      </c>
      <c r="G15" s="3" t="inlineStr">
        <is>
          <t>Earth</t>
        </is>
      </c>
      <c r="H15" s="3" t="inlineStr">
        <is>
          <t>7.5e9 cells at 87% cTnT+ in one batch.</t>
        </is>
      </c>
      <c r="I15" s="3" t="inlineStr">
        <is>
          <t>supportive (scale)</t>
        </is>
      </c>
      <c r="J15" s="3" t="inlineStr">
        <is>
          <t>N0, q_E</t>
        </is>
      </c>
    </row>
    <row r="16">
      <c r="A16" s="3" t="inlineStr">
        <is>
          <t>C13</t>
        </is>
      </c>
      <c r="B16" s="3" t="inlineStr">
        <is>
          <t>Nanobioreactor detection of space-associated hematopoietic stem and progenitor cell aging. Cell Stem Cell (Jamieson lab)</t>
        </is>
      </c>
      <c r="C16" s="3" t="n">
        <v>2025</v>
      </c>
      <c r="D16" s="3" t="inlineStr">
        <is>
          <t>https://www.cell.com/cell-stem-cell/fulltext/S1934-5909(25)00270-X</t>
        </is>
      </c>
      <c r="E16" s="3" t="inlineStr">
        <is>
          <t>SNIPPET</t>
        </is>
      </c>
      <c r="F16" s="3" t="inlineStr">
        <is>
          <t>Human HSPC, ISS 32-45 days</t>
        </is>
      </c>
      <c r="G16" s="3" t="inlineStr">
        <is>
          <t>Space</t>
        </is>
      </c>
      <c r="H16" s="3" t="inlineStr">
        <is>
          <t>Aging signatures and ~5x more mutations than ground controls: a radiation/stress risk for any stem-cell product.</t>
        </is>
      </c>
      <c r="I16" s="3" t="inlineStr">
        <is>
          <t>contradictory (risk)</t>
        </is>
      </c>
      <c r="J16" s="3" t="inlineStr">
        <is>
          <t>p_S, r_q</t>
        </is>
      </c>
    </row>
    <row r="17">
      <c r="A17" s="3" t="inlineStr">
        <is>
          <t>C14</t>
        </is>
      </c>
      <c r="B17" s="3" t="inlineStr">
        <is>
          <t>Phipson B et al. Evaluation of variability in human kidney organoids. Nature Methods 16:79</t>
        </is>
      </c>
      <c r="C17" s="3" t="n">
        <v>2019</v>
      </c>
      <c r="D17" s="3" t="inlineStr">
        <is>
          <t>https://pmc.ncbi.nlm.nih.gov/articles/PMC6634992/</t>
        </is>
      </c>
      <c r="E17" s="3" t="inlineStr">
        <is>
          <t>SNIPPET</t>
        </is>
      </c>
      <c r="F17" s="3" t="inlineStr">
        <is>
          <t>Human iPSC kidney organoids</t>
        </is>
      </c>
      <c r="G17" s="3" t="inlineStr">
        <is>
          <t>Earth</t>
        </is>
      </c>
      <c r="H17" s="3" t="inlineStr">
        <is>
          <t>Batch (not clone) is the main source of variation. Kidney differentiation is less controlled than cardiac: a stronger case for a quality lever.</t>
        </is>
      </c>
      <c r="I17" s="3" t="inlineStr">
        <is>
          <t>contextual (kidney)</t>
        </is>
      </c>
      <c r="J17" s="3" t="inlineStr">
        <is>
          <t>none (context)</t>
        </is>
      </c>
    </row>
    <row r="18">
      <c r="A18" s="3" t="inlineStr">
        <is>
          <t>P1</t>
        </is>
      </c>
      <c r="B18" s="3" t="inlineStr">
        <is>
          <t>SpaceOrbitals: How Cheap Is Starship V3 Really? A Plain-English Look at the 2026 $/kg-to-LEO Math</t>
        </is>
      </c>
      <c r="C18" s="3" t="n">
        <v>2026</v>
      </c>
      <c r="D18" s="3" t="inlineStr">
        <is>
          <t>https://spaceorbitals.com/articles/starship-v3-cost-per-kg-2026/</t>
        </is>
      </c>
      <c r="E18" s="3" t="inlineStr">
        <is>
          <t>READ</t>
        </is>
      </c>
      <c r="F18" s="3" t="inlineStr">
        <is>
          <t>Launch price projection (secondary source)</t>
        </is>
      </c>
      <c r="G18" s="3" t="inlineStr">
        <is>
          <t>Space</t>
        </is>
      </c>
      <c r="H18" s="3" t="inlineStr">
        <is>
          <t>Starship target '&lt;$200/kg' (SpaceX since 2019); Musk May 2026: '$100-200 per kg' fully reusable (aspirational); '$500-1,000 (realistic mid-decade)'. No published Starship price.</t>
        </is>
      </c>
      <c r="I18" s="3" t="inlineStr">
        <is>
          <t>projection</t>
        </is>
      </c>
      <c r="J18" s="3" t="inlineStr">
        <is>
          <t>L</t>
        </is>
      </c>
    </row>
    <row r="19">
      <c r="A19" s="3" t="inlineStr">
        <is>
          <t>P2</t>
        </is>
      </c>
      <c r="B19" s="3" t="inlineStr">
        <is>
          <t>Payload Space: Varda Conducts First Reentry Mission into Australia</t>
        </is>
      </c>
      <c r="C19" s="3" t="n">
        <v>2025</v>
      </c>
      <c r="D19" s="3" t="inlineStr">
        <is>
          <t>https://payloadspace.com/varda-conducts-first-reentry-mission-into-australia/</t>
        </is>
      </c>
      <c r="E19" s="3" t="inlineStr">
        <is>
          <t>READ</t>
        </is>
      </c>
      <c r="F19" s="3" t="inlineStr">
        <is>
          <t>Free-flyer reentry capsule (Varda)</t>
        </is>
      </c>
      <c r="G19" s="3" t="inlineStr">
        <is>
          <t>Space</t>
        </is>
      </c>
      <c r="H19" s="3" t="inlineStr">
        <is>
          <t>AFRL's Capt. Ashwin Rao: Varda 'reduces the cost of a reentry flight test from on the order of $100M to around $5M.' Capsule capacity not stated.</t>
        </is>
      </c>
      <c r="I19" s="3" t="inlineStr">
        <is>
          <t>projection</t>
        </is>
      </c>
      <c r="J19" s="3" t="inlineStr">
        <is>
          <t>C_return, S_facility</t>
        </is>
      </c>
    </row>
    <row r="20">
      <c r="A20" s="3" t="inlineStr">
        <is>
          <t>S1</t>
        </is>
      </c>
      <c r="B20" s="3" t="inlineStr">
        <is>
          <t>Wagner JE et al. Phase I/II Trial of StemRegenin-1 Expanded Umbilical Cord Blood Hematopoietic Stem Cells Supports Testing as a Stand-Alone Graft. Cell Stem Cell</t>
        </is>
      </c>
      <c r="C20" s="3" t="n">
        <v>2016</v>
      </c>
      <c r="D20" s="3" t="inlineStr">
        <is>
          <t>https://pmc.ncbi.nlm.nih.gov/articles/PMC4881386/</t>
        </is>
      </c>
      <c r="E20" s="3" t="inlineStr">
        <is>
          <t>READ</t>
        </is>
      </c>
      <c r="F20" s="3" t="inlineStr">
        <is>
          <t>Human cord blood CD34+, GMP clinical</t>
        </is>
      </c>
      <c r="G20" s="3" t="inlineStr">
        <is>
          <t>Earth</t>
        </is>
      </c>
      <c r="H20" s="3" t="inlineStr">
        <is>
          <t>CD34+ median 330-fold expansion (range 67-848); TNC 854-fold; 15-day culture. 2 of 20 products failed lot release; later 13 all passed.</t>
        </is>
      </c>
      <c r="I20" s="3" t="inlineStr">
        <is>
          <t>supportive (Earth baseline)</t>
        </is>
      </c>
      <c r="J20" s="3" t="inlineStr">
        <is>
          <t>g_E, p_E</t>
        </is>
      </c>
    </row>
    <row r="21">
      <c r="A21" s="3" t="inlineStr">
        <is>
          <t>S2</t>
        </is>
      </c>
      <c r="B21" s="3" t="inlineStr">
        <is>
          <t>Horwitz ME et al. Omidubicel vs standard myeloablative umbilical cord blood transplantation: phase 3 randomized study. Blood 138(16):1429</t>
        </is>
      </c>
      <c r="C21" s="3" t="n">
        <v>2021</v>
      </c>
      <c r="D21" s="3" t="inlineStr">
        <is>
          <t>https://ashpublications.org/blood/article/138/16/1429/476235/</t>
        </is>
      </c>
      <c r="E21" s="3" t="inlineStr">
        <is>
          <t>SNIPPET</t>
        </is>
      </c>
      <c r="F21" s="3" t="inlineStr">
        <is>
          <t>Human cord blood CD34+, approved product (Omisirge)</t>
        </is>
      </c>
      <c r="G21" s="3" t="inlineStr">
        <is>
          <t>Earth</t>
        </is>
      </c>
      <c r="H21" s="3" t="inlineStr">
        <is>
          <t>CD34+ median 130-fold (32-233); ~6.6e8 CD34+ per product.</t>
        </is>
      </c>
      <c r="I21" s="3" t="inlineStr">
        <is>
          <t>supportive (Earth baseline)</t>
        </is>
      </c>
      <c r="J21" s="3" t="inlineStr">
        <is>
          <t>g_E, N0</t>
        </is>
      </c>
    </row>
    <row r="22">
      <c r="A22" s="3" t="inlineStr">
        <is>
          <t>S3</t>
        </is>
      </c>
      <c r="B22" s="3" t="inlineStr">
        <is>
          <t>Single UM171 expanded cord blood transplant is feasible and safe. Experimental Hematology</t>
        </is>
      </c>
      <c r="C22" s="3" t="n">
        <v>2017</v>
      </c>
      <c r="D22" s="3" t="inlineStr">
        <is>
          <t>https://www.exphem.org/article/S0301-472X(17)30299-0/fulltext</t>
        </is>
      </c>
      <c r="E22" s="3" t="inlineStr">
        <is>
          <t>SNIPPET</t>
        </is>
      </c>
      <c r="F22" s="3" t="inlineStr">
        <is>
          <t>Human cord blood CD34+</t>
        </is>
      </c>
      <c r="G22" s="3" t="inlineStr">
        <is>
          <t>Earth</t>
        </is>
      </c>
      <c r="H22" s="3" t="inlineStr">
        <is>
          <t>CD34+ median net 35-fold expansion (n=7).</t>
        </is>
      </c>
      <c r="I22" s="3" t="inlineStr">
        <is>
          <t>supportive (Earth baseline)</t>
        </is>
      </c>
      <c r="J22" s="3" t="inlineStr">
        <is>
          <t>g_E</t>
        </is>
      </c>
    </row>
    <row r="23">
      <c r="A23" s="3" t="inlineStr">
        <is>
          <t>S4</t>
        </is>
      </c>
      <c r="B23" s="3" t="inlineStr">
        <is>
          <t>Cohen S et al. Hematopoietic stem cell transplantation using single UM171-expanded cord blood: phase 1-2 study. Lancet Haematology</t>
        </is>
      </c>
      <c r="C23" s="3" t="n">
        <v>2019</v>
      </c>
      <c r="D23" s="3" t="inlineStr">
        <is>
          <t>https://www.thelancet.com/journals/lanhae/article/PIIS2352-3026(19)30202-9/abstract</t>
        </is>
      </c>
      <c r="E23" s="3" t="inlineStr">
        <is>
          <t>SNIPPET</t>
        </is>
      </c>
      <c r="F23" s="3" t="inlineStr">
        <is>
          <t>Human cord blood CD34+</t>
        </is>
      </c>
      <c r="G23" s="3" t="inlineStr">
        <is>
          <t>Earth</t>
        </is>
      </c>
      <c r="H23" s="3" t="inlineStr">
        <is>
          <t>26 of 27 units expanded successfully (96%).</t>
        </is>
      </c>
      <c r="I23" s="3" t="inlineStr">
        <is>
          <t>supportive (Earth baseline)</t>
        </is>
      </c>
      <c r="J23" s="3" t="inlineStr">
        <is>
          <t>p_E</t>
        </is>
      </c>
    </row>
    <row r="24">
      <c r="A24" s="3" t="inlineStr">
        <is>
          <t>S5</t>
        </is>
      </c>
      <c r="B24" s="3" t="inlineStr">
        <is>
          <t>Harrison RP, Zylberberg E, Ellison S, Levine BL. CAR-T cell therapy manufacturing: modelling the effect of offshore production on aggregate cost of goods. Cytotherapy 21(2):224-233</t>
        </is>
      </c>
      <c r="C24" s="3" t="n">
        <v>2019</v>
      </c>
      <c r="D24" s="3" t="inlineStr">
        <is>
          <t>https://www.sciencedirect.com/science/article/pii/S1465324919300039</t>
        </is>
      </c>
      <c r="E24" s="3" t="inlineStr">
        <is>
          <t>SNIPPET</t>
        </is>
      </c>
      <c r="F24" s="3" t="inlineStr">
        <is>
          <t>CAR-T (different cell product)</t>
        </is>
      </c>
      <c r="G24" s="3" t="inlineStr">
        <is>
          <t>Earth</t>
        </is>
      </c>
      <c r="H24" s="3" t="inlineStr">
        <is>
          <t>Autologous COGS ~$95,780 per dose; allogeneic ~$4,460 per dose (2019 USD, not inflation-adjusted).</t>
        </is>
      </c>
      <c r="I24" s="3" t="inlineStr">
        <is>
          <t>contextual (other system)</t>
        </is>
      </c>
      <c r="J24" s="3" t="inlineStr">
        <is>
          <t>E_other, S_other</t>
        </is>
      </c>
    </row>
    <row r="25">
      <c r="A25" s="3" t="inlineStr">
        <is>
          <t>S6</t>
        </is>
      </c>
      <c r="B25" s="3" t="inlineStr">
        <is>
          <t>ten Ham RMT et al. What does cell therapy manufacturing cost? A framework and methodology. Cytotherapy 22(7):388-397</t>
        </is>
      </c>
      <c r="C25" s="3" t="n">
        <v>2020</v>
      </c>
      <c r="D25" s="3" t="inlineStr">
        <is>
          <t>https://www.isct-cytotherapy.org/article/S1465-3249(20)30496-5/fulltext</t>
        </is>
      </c>
      <c r="E25" s="3" t="inlineStr">
        <is>
          <t>SNIPPET</t>
        </is>
      </c>
      <c r="F25" s="3" t="inlineStr">
        <is>
          <t>Academic cell-therapy facilities (EU)</t>
        </is>
      </c>
      <c r="G25" s="3" t="inlineStr">
        <is>
          <t>Earth</t>
        </is>
      </c>
      <c r="H25" s="3" t="inlineStr">
        <is>
          <t>Costing framework (fixed vs variable per-batch costs, 2018 EUR, 5% failure assumption). Per-batch totals not extracted.</t>
        </is>
      </c>
      <c r="I25" s="3" t="inlineStr">
        <is>
          <t>contextual (method)</t>
        </is>
      </c>
      <c r="J25" s="3" t="inlineStr">
        <is>
          <t>E_* cost structure</t>
        </is>
      </c>
    </row>
    <row r="26">
      <c r="A26" s="3" t="inlineStr">
        <is>
          <t>S7</t>
        </is>
      </c>
      <c r="B26" s="3" t="inlineStr">
        <is>
          <t>HRSA Advisory Council on Blood Stem Cell Transplantation: Access to transplantation (Champlin R., slides)</t>
        </is>
      </c>
      <c r="C26" s="3" t="inlineStr">
        <is>
          <t>not extracted</t>
        </is>
      </c>
      <c r="D26" s="3" t="inlineStr">
        <is>
          <t>https://bloodstemcell.hrsa.gov/sites/default/files/bloodstemcell/about/advisory-council/meetings/access-to-transplantation.pdf</t>
        </is>
      </c>
      <c r="E26" s="3" t="inlineStr">
        <is>
          <t>SNIPPET</t>
        </is>
      </c>
      <c r="F26" s="3" t="inlineStr">
        <is>
          <t>Unrelated cord blood unit procurement</t>
        </is>
      </c>
      <c r="G26" s="3" t="inlineStr">
        <is>
          <t>Earth</t>
        </is>
      </c>
      <c r="H26" s="3" t="inlineStr">
        <is>
          <t>Cord blood unit procurement ~$30,000-$60,000+.</t>
        </is>
      </c>
      <c r="I26" s="3" t="inlineStr">
        <is>
          <t>supportive (cost)</t>
        </is>
      </c>
      <c r="J26" s="3" t="inlineStr">
        <is>
          <t>E_cells, S_cells</t>
        </is>
      </c>
    </row>
    <row r="27">
      <c r="A27" s="3" t="inlineStr">
        <is>
          <t>S8</t>
        </is>
      </c>
      <c r="B27" s="3" t="inlineStr">
        <is>
          <t>UK National CAR T Clinical Panel: manufacturing failure analysis. Blood Cancer Journal</t>
        </is>
      </c>
      <c r="C27" s="3" t="n">
        <v>2025</v>
      </c>
      <c r="D27" s="3" t="inlineStr">
        <is>
          <t>https://www.nature.com/articles/s41408-025-01225-9</t>
        </is>
      </c>
      <c r="E27" s="3" t="inlineStr">
        <is>
          <t>SNIPPET</t>
        </is>
      </c>
      <c r="F27" s="3" t="inlineStr">
        <is>
          <t>CAR-T (different cell product)</t>
        </is>
      </c>
      <c r="G27" s="3" t="inlineStr">
        <is>
          <t>Earth</t>
        </is>
      </c>
      <c r="H27" s="3" t="inlineStr">
        <is>
          <t>LBCL manufacturing failure 3.87% (38/981).</t>
        </is>
      </c>
      <c r="I27" s="3" t="inlineStr">
        <is>
          <t>contextual (other system)</t>
        </is>
      </c>
      <c r="J27" s="3" t="inlineStr">
        <is>
          <t>p_E</t>
        </is>
      </c>
    </row>
    <row r="28">
      <c r="A28" s="3" t="inlineStr">
        <is>
          <t>S9</t>
        </is>
      </c>
      <c r="B28" s="3" t="inlineStr">
        <is>
          <t>NASA ISS Updated Commercial and Marketing Pricing Policy (summary on eoPortal)</t>
        </is>
      </c>
      <c r="C28" s="3" t="n">
        <v>2021</v>
      </c>
      <c r="D28" s="3" t="inlineStr">
        <is>
          <t>https://www.eoportal.org/ftp/satellite-missions/iss/ISS-Pricing-08032021/ISS-Pricing.html</t>
        </is>
      </c>
      <c r="E28" s="3" t="inlineStr">
        <is>
          <t>READ</t>
        </is>
      </c>
      <c r="F28" s="3" t="inlineStr">
        <is>
          <t>ISS commercial access</t>
        </is>
      </c>
      <c r="G28" s="3" t="inlineStr">
        <is>
          <t>Space</t>
        </is>
      </c>
      <c r="H28" s="3" t="inlineStr">
        <is>
          <t>2021 full-value pricing: upmass $20,000/kg, downmass $40,000/kg, crew time $130,000/hour (2019 policy: $3,000/kg, $6,000/kg, $17,500/hr).</t>
        </is>
      </c>
      <c r="I28" s="3" t="inlineStr">
        <is>
          <t>supportive (cost)</t>
        </is>
      </c>
      <c r="J28" s="3" t="inlineStr">
        <is>
          <t>L, crew_rate, down_rate</t>
        </is>
      </c>
    </row>
    <row r="29">
      <c r="A29" s="3" t="inlineStr">
        <is>
          <t>S10</t>
        </is>
      </c>
      <c r="B29" s="3" t="inlineStr">
        <is>
          <t>Payload Space: SpaceX Increases Rideshare Prices</t>
        </is>
      </c>
      <c r="C29" s="3" t="n">
        <v>2025</v>
      </c>
      <c r="D29" s="3" t="inlineStr">
        <is>
          <t>https://payloadspace.com/spacex-increases-rideshare-prices/</t>
        </is>
      </c>
      <c r="E29" s="3" t="inlineStr">
        <is>
          <t>SNIPPET</t>
        </is>
      </c>
      <c r="F29" s="3" t="inlineStr">
        <is>
          <t>Falcon 9 Transporter rideshare to SSO</t>
        </is>
      </c>
      <c r="G29" s="3" t="inlineStr">
        <is>
          <t>Space</t>
        </is>
      </c>
      <c r="H29" s="3" t="inlineStr">
        <is>
          <t>Rideshare $6,500/kg (2025), $7,000/kg (2026). Free-flyer orbit, not ISS delivery.</t>
        </is>
      </c>
      <c r="I29" s="3" t="inlineStr">
        <is>
          <t>contextual (cost floor)</t>
        </is>
      </c>
      <c r="J29" s="3" t="inlineStr">
        <is>
          <t>L</t>
        </is>
      </c>
    </row>
    <row r="30">
      <c r="A30" s="3" t="inlineStr">
        <is>
          <t>S11</t>
        </is>
      </c>
      <c r="B30" s="3" t="inlineStr">
        <is>
          <t>NASA Office of Inspector General IG-18-016: NASA's Management of Commercial Resupply Services Contracts</t>
        </is>
      </c>
      <c r="C30" s="3" t="n">
        <v>2018</v>
      </c>
      <c r="D30" s="3" t="inlineStr">
        <is>
          <t>https://oig.nasa.gov/docs/IG-18-016.pdf</t>
        </is>
      </c>
      <c r="E30" s="3" t="inlineStr">
        <is>
          <t>SNIPPET</t>
        </is>
      </c>
      <c r="F30" s="3" t="inlineStr">
        <is>
          <t>ISS commercial cargo (CRS)</t>
        </is>
      </c>
      <c r="G30" s="3" t="inlineStr">
        <is>
          <t>Space</t>
        </is>
      </c>
      <c r="H30" s="3" t="inlineStr">
        <is>
          <t>Estimated SpaceX cargo cost ~$63,200/kg (CRS-1), ~$71,800/kg projected (CRS-2), as reported by secondary sources.</t>
        </is>
      </c>
      <c r="I30" s="3" t="inlineStr">
        <is>
          <t>supportive (cost ceiling)</t>
        </is>
      </c>
      <c r="J30" s="3" t="inlineStr">
        <is>
          <t>L</t>
        </is>
      </c>
    </row>
    <row r="31">
      <c r="A31" s="3" t="inlineStr">
        <is>
          <t>S12</t>
        </is>
      </c>
      <c r="B31" s="3" t="inlineStr">
        <is>
          <t>Wang P et al. Spaceflight/microgravity inhibits the proliferation of hematopoietic stem cells by decreasing Kit-Ras/cAMP-CREB pathway networks. FASEB J 33(5):5903</t>
        </is>
      </c>
      <c r="C31" s="3" t="n">
        <v>2019</v>
      </c>
      <c r="D31" s="3" t="inlineStr">
        <is>
          <t>https://pmc.ncbi.nlm.nih.gov/articles/PMC6463920/</t>
        </is>
      </c>
      <c r="E31" s="3" t="inlineStr">
        <is>
          <t>READ</t>
        </is>
      </c>
      <c r="F31" s="3" t="inlineStr">
        <is>
          <t>Mouse bone-marrow Lin- HSPC; actual spaceflight + RWV</t>
        </is>
      </c>
      <c r="G31" s="3" t="inlineStr">
        <is>
          <t>Space</t>
        </is>
      </c>
      <c r="H31" s="3" t="inlineStr">
        <is>
          <t>Reduced HSPC proliferation, G0/G1 arrest; differentiation not changed. No fold magnitude stated.</t>
        </is>
      </c>
      <c r="I31" s="3" t="inlineStr">
        <is>
          <t>contradictory</t>
        </is>
      </c>
      <c r="J31" s="3" t="inlineStr">
        <is>
          <t>r_g</t>
        </is>
      </c>
    </row>
    <row r="32">
      <c r="A32" s="3" t="inlineStr">
        <is>
          <t>S13</t>
        </is>
      </c>
      <c r="B32" s="3" t="inlineStr">
        <is>
          <t>Proliferation of human hematopoietic bone marrow cells in simulated microgravity (PubMed 11332740)</t>
        </is>
      </c>
      <c r="C32" s="3" t="inlineStr">
        <is>
          <t>not extracted</t>
        </is>
      </c>
      <c r="D32" s="3" t="inlineStr">
        <is>
          <t>https://pubmed.ncbi.nlm.nih.gov/11332740/</t>
        </is>
      </c>
      <c r="E32" s="3" t="inlineStr">
        <is>
          <t>SNIPPET</t>
        </is>
      </c>
      <c r="F32" s="3" t="inlineStr">
        <is>
          <t>Human bone-marrow CD34+; simulated microgravity</t>
        </is>
      </c>
      <c r="G32" s="3" t="inlineStr">
        <is>
          <t>Space</t>
        </is>
      </c>
      <c r="H32" s="3" t="inlineStr">
        <is>
          <t>Normal-gravity cells grew up to ~3-fold by day 4-6; simulated-microgravity cells did not increase (ratio ~0.33).</t>
        </is>
      </c>
      <c r="I32" s="3" t="inlineStr">
        <is>
          <t>contradictory</t>
        </is>
      </c>
      <c r="J32" s="3" t="inlineStr">
        <is>
          <t>r_g</t>
        </is>
      </c>
    </row>
    <row r="33">
      <c r="A33" s="3" t="inlineStr">
        <is>
          <t>S14</t>
        </is>
      </c>
      <c r="B33" s="3" t="inlineStr">
        <is>
          <t>Proliferation and functional characterization of human CD34+ bone marrow cells cultured in simulated microgravity. Experimental Hematology</t>
        </is>
      </c>
      <c r="C33" s="3" t="inlineStr">
        <is>
          <t>not extracted</t>
        </is>
      </c>
      <c r="D33" s="3" t="inlineStr">
        <is>
          <t>https://www.sciencedirect.com/science/article/abs/pii/S0301472X00003921</t>
        </is>
      </c>
      <c r="E33" s="3" t="inlineStr">
        <is>
          <t>SNIPPET</t>
        </is>
      </c>
      <c r="F33" s="3" t="inlineStr">
        <is>
          <t>Human CD34+; simulated microgravity (RWV)</t>
        </is>
      </c>
      <c r="G33" s="3" t="inlineStr">
        <is>
          <t>Space</t>
        </is>
      </c>
      <c r="H33" s="3" t="inlineStr">
        <is>
          <t>Day 5 total cells 11 vs 4.1-fold (ratio ~2.7); CD34+ 2.6 vs 1.0; but NOD/SCID repopulation 2.1 vs 14.8 (worse function, ratio ~0.14).</t>
        </is>
      </c>
      <c r="I33" s="3" t="inlineStr">
        <is>
          <t>mixed</t>
        </is>
      </c>
      <c r="J33" s="3" t="inlineStr">
        <is>
          <t>r_g, r_q</t>
        </is>
      </c>
    </row>
    <row r="34">
      <c r="A34" s="3" t="inlineStr">
        <is>
          <t>S16</t>
        </is>
      </c>
      <c r="B34" s="3" t="inlineStr">
        <is>
          <t>NASA: Growing Stem Cells in Space to Improve Cancer and Disease Treatments (InSPA StemCellEX-H2)</t>
        </is>
      </c>
      <c r="C34" s="3" t="n">
        <v>2026</v>
      </c>
      <c r="D34" s="3" t="inlineStr">
        <is>
          <t>https://www.nasa.gov/missions/station/iss-research/growing-stem-cells-in-space-to-improve-cancer-and-disease-treatments/</t>
        </is>
      </c>
      <c r="E34" s="3" t="inlineStr">
        <is>
          <t>SNIPPET</t>
        </is>
      </c>
      <c r="F34" s="3" t="inlineStr">
        <is>
          <t>Human cord blood CD34+ expansion on ISS</t>
        </is>
      </c>
      <c r="G34" s="3" t="inlineStr">
        <is>
          <t>Space</t>
        </is>
      </c>
      <c r="H34" s="3" t="inlineStr">
        <is>
          <t>Target-system expansion experiment; no published yield results as of research date.</t>
        </is>
      </c>
      <c r="I34" s="3" t="inlineStr">
        <is>
          <t>contextual (pending)</t>
        </is>
      </c>
      <c r="J34" s="3" t="inlineStr">
        <is>
          <t>r_g</t>
        </is>
      </c>
    </row>
    <row r="35">
      <c r="A35" s="3" t="inlineStr">
        <is>
          <t>S17</t>
        </is>
      </c>
      <c r="B35" s="3" t="inlineStr">
        <is>
          <t>Fisher V et al. Analysis of the Recovery of Cryopreserved and Thawed CD34+ and CD3+ Cells Collected for Hematopoietic Transplantation. Transfusion</t>
        </is>
      </c>
      <c r="C35" s="3" t="n">
        <v>2014</v>
      </c>
      <c r="D35" s="3" t="inlineStr">
        <is>
          <t>https://pmc.ncbi.nlm.nih.gov/articles/PMC3983171/</t>
        </is>
      </c>
      <c r="E35" s="3" t="inlineStr">
        <is>
          <t>READ</t>
        </is>
      </c>
      <c r="F35" s="3" t="inlineStr">
        <is>
          <t>Human mobilized CD34+, cryopreserved</t>
        </is>
      </c>
      <c r="G35" s="3" t="inlineStr">
        <is>
          <t>Space</t>
        </is>
      </c>
      <c r="H35" s="3" t="inlineStr">
        <is>
          <t>CD34+ recovery 97.5% (related, n=86) and 98.8% (unrelated, n=14); total-cell viability 64-79%.</t>
        </is>
      </c>
      <c r="I35" s="3" t="inlineStr">
        <is>
          <t>supportive (retention ceiling)</t>
        </is>
      </c>
      <c r="J35" s="3" t="inlineStr">
        <is>
          <t>s</t>
        </is>
      </c>
    </row>
    <row r="36">
      <c r="A36" s="3" t="inlineStr">
        <is>
          <t>S18</t>
        </is>
      </c>
      <c r="B36" s="3" t="inlineStr">
        <is>
          <t>Post-thaw recovery of cryopreserved leukapheresis products (PubMed 37460360)</t>
        </is>
      </c>
      <c r="C36" s="3" t="inlineStr">
        <is>
          <t>not extracted</t>
        </is>
      </c>
      <c r="D36" s="3" t="inlineStr">
        <is>
          <t>https://pubmed.ncbi.nlm.nih.gov/37460360/</t>
        </is>
      </c>
      <c r="E36" s="3" t="inlineStr">
        <is>
          <t>SNIPPET</t>
        </is>
      </c>
      <c r="F36" s="3" t="inlineStr">
        <is>
          <t>Human apheresis CD34+, cryopreserved</t>
        </is>
      </c>
      <c r="G36" s="3" t="inlineStr">
        <is>
          <t>Space</t>
        </is>
      </c>
      <c r="H36" s="3" t="inlineStr">
        <is>
          <t>Median viable CD34+ recovery 73.7% autologous, 68.1% allogeneic.</t>
        </is>
      </c>
      <c r="I36" s="3" t="inlineStr">
        <is>
          <t>supportive (retention)</t>
        </is>
      </c>
      <c r="J36" s="3" t="inlineStr">
        <is>
          <t>s</t>
        </is>
      </c>
    </row>
    <row r="37">
      <c r="A37" s="3" t="inlineStr">
        <is>
          <t>S19</t>
        </is>
      </c>
      <c r="B37" s="3" t="inlineStr">
        <is>
          <t>ACA Pharma: Omisirge WAC price (citing Gamida Cell order sheet)</t>
        </is>
      </c>
      <c r="C37" s="3" t="n">
        <v>2026</v>
      </c>
      <c r="D37" s="3" t="inlineStr">
        <is>
          <t>https://acapharma.net/omisirge-wac-price/</t>
        </is>
      </c>
      <c r="E37" s="3" t="inlineStr">
        <is>
          <t>SNIPPET</t>
        </is>
      </c>
      <c r="F37" s="3" t="inlineStr">
        <is>
          <t>Omidubicel list price (distributor page)</t>
        </is>
      </c>
      <c r="G37" s="3" t="inlineStr">
        <is>
          <t>Earth</t>
        </is>
      </c>
      <c r="H37" s="3" t="inlineStr">
        <is>
          <t>WAC $693,900 per treatment. Price, not cost; context only.</t>
        </is>
      </c>
      <c r="I37" s="3" t="inlineStr">
        <is>
          <t>contextual (price)</t>
        </is>
      </c>
      <c r="J37" s="3" t="inlineStr">
        <is>
          <t>none (context)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2026-10-24T21:23:24Z</dcterms:created>
  <dcterms:modified xsi:type="dcterms:W3CDTF">2026-10-24T21:23:24Z</dcterms:modified>
</cp:coreProperties>
</file>